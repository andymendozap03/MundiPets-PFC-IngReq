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17a0f394d546d5" /></Relationships>
</file>

<file path=xl/workbook.xml><?xml version="1.0" encoding="utf-8"?>
<x:workbook xmlns:x="http://schemas.openxmlformats.org/spreadsheetml/2006/main">
  <x:sheets>
    <x:sheet xmlns:r="http://schemas.openxmlformats.org/officeDocument/2006/relationships" name="Instrucciones" sheetId="1" r:id="R7c09d2bab6a74c86"/>
    <x:sheet xmlns:r="http://schemas.openxmlformats.org/officeDocument/2006/relationships" name="Criterios de Clasificación" sheetId="2" r:id="Rd8ec3357e4fb443c"/>
    <x:sheet xmlns:r="http://schemas.openxmlformats.org/officeDocument/2006/relationships" name="Clave Interna (Equipo)" sheetId="4" r:id="Rd194de62b1684d50"/>
    <x:sheet xmlns:r="http://schemas.openxmlformats.org/officeDocument/2006/relationships" name="Eval. Angélica Tenecela" sheetId="3" r:id="R88504cd9556b4a9e"/>
    <x:sheet xmlns:r="http://schemas.openxmlformats.org/officeDocument/2006/relationships" name="Eval. Geovanny Ochoa" sheetId="5" r:id="Rcf51fb5c1a1a46fb"/>
    <x:sheet xmlns:r="http://schemas.openxmlformats.org/officeDocument/2006/relationships" name="Eval. Valeska Chica" sheetId="6" r:id="Rdb6ef49bc6a04d55"/>
  </x:sheets>
</x:workbook>
</file>

<file path=xl/sharedStrings.xml><?xml version="1.0" encoding="utf-8"?>
<x:sst xmlns:x="http://schemas.openxmlformats.org/spreadsheetml/2006/main">
  <x:si>
    <x:t xml:space="preserve">Rúbrica de Clasificación Experta — Componente Empírico MundiPets</x:t>
  </x:si>
  <x:si>
    <x:t xml:space="preserve">Enfoque 2: Detección automática de ambigüedad y malos olores en los requisitos</x:t>
  </x:si>
  <x:si>
    <x:t xml:space="preserve">Objetivo</x:t>
  </x:si>
  <x:si>
    <x:t xml:space="preserve">Clasificar de forma independiente cada requisito presentado como “Ambiguo” o “No ambiguo”, sin conocer el resultado producido por el detector automático ni la clasificación de las demás personas evaluadoras (evaluación a ciegas).</x:t>
  </x:si>
  <x:si>
    <x:t xml:space="preserve">Confidencialidad</x:t>
  </x:si>
  <x:si>
    <x:t xml:space="preserve">Los requisitos se presentan sin indicar si son RF, RNF, RD o RL. La clasificación será tratada de forma anonimizada y utilizada exclusivamente con fines académicos y de investigación, conforme al consentimiento informado firmado.</x:t>
  </x:si>
  <x:si>
    <x:t xml:space="preserve">Instrucciones de uso</x:t>
  </x:si>
  <x:si>
    <x:t xml:space="preserve">1) Revise cada requisito en la hoja de evaluación correspondiente.
2) Consulte la hoja “Criterios de Clasificación” para interpretar los tipos de ambigüedad.
3) El corpus actualizado contiene 61 enunciados: 27 RF, 16 RNF, 9 RD y 9 RL.
4) La hoja “Clave Interna (Equipo)” conserva la relación entre el ID anónimo y el requisito real, además del consenso cuando existe.
5) No modifique el identificador anónimo (ID).
6) Los ítems cuya redacción cambió o fueron incorporados en la versión vigente deben ser reevaluados antes de usarse en el análisis final.</x:t>
  </x:si>
  <x:si>
    <x:t xml:space="preserve">Tiempo estimado</x:t>
  </x:si>
  <x:si>
    <x:t xml:space="preserve">La revisión y ratificación individual de cada hoja puede tomar entre 30 y 45 minutos.</x:t>
  </x:si>
  <x:si>
    <x:t xml:space="preserve">Celdas resaltadas</x:t>
  </x:si>
  <x:si>
    <x:t xml:space="preserve">El instrumento actualizado contiene 61 requisitos. Las valoraciones correspondientes a los requisitos modificados y nuevos fueron revisadas y completadas personalmente, manteniendo la estructura, los criterios de clasificación y la funcionalidad establecidos en el instrumento original.</x:t>
  </x:si>
  <x:si>
    <x:t xml:space="preserve">Instrumento actualizado para el componente empírico de la Entrega 4 (2B) — Ingeniería de Requerimientos, UTEQ 2026-2027 PPA.</x:t>
  </x:si>
  <x:si>
    <x:t xml:space="preserve">Criterios de referencia para identificar ambigüedad y “malos olores”</x:t>
  </x:si>
  <x:si>
    <x:t xml:space="preserve">Basado en Ferrari et al. (2016) y en la revisión de defectos ya realizada sobre el SRS parcial de MundiPets</x:t>
  </x:si>
  <x:si>
    <x:t xml:space="preserve">Categoría</x:t>
  </x:si>
  <x:si>
    <x:t xml:space="preserve">Definición</x:t>
  </x:si>
  <x:si>
    <x:t xml:space="preserve">Ejemplo (MundiPets)</x:t>
  </x:si>
  <x:si>
    <x:t xml:space="preserve">Cuantificador vago</x:t>
  </x:si>
  <x:si>
    <x:t xml:space="preserve">Uso de términos subjetivos sin métrica ni umbral definido (p. ej. “rápido”, “fácil de usar”, “completo”).</x:t>
  </x:si>
  <x:si>
    <x:t xml:space="preserve">“Consultar perfil completo de una mascota” no define qué información se muestra ni a qué tipo de usuario.</x:t>
  </x:si>
  <x:si>
    <x:t xml:space="preserve">Conjunción múltiple</x:t>
  </x:si>
  <x:si>
    <x:t xml:space="preserve">Uso de conjunciones que ocultan más de un requisito dentro de una sola oración, dificultando su verificación individual.</x:t>
  </x:si>
  <x:si>
    <x:t xml:space="preserve">“Sistema de mensajería entre usuarios” sin indicar bajo qué condición se habilita, mezclando registro y autorización en un solo enunciado.</x:t>
  </x:si>
  <x:si>
    <x:t xml:space="preserve">Voz pasiva / sujeto ausente</x:t>
  </x:si>
  <x:si>
    <x:t xml:space="preserve">El requisito no deja claro quién ejecuta la acción o bajo qué rol, dificultando la trazabilidad hacia un actor.</x:t>
  </x:si>
  <x:si>
    <x:t xml:space="preserve">“Se debe validar la información médica” sin indicar si el sistema, la veterinaria o el propietario ejecutan la validación.</x:t>
  </x:si>
  <x:si>
    <x:t xml:space="preserve">Terminología imprecisa</x:t>
  </x:si>
  <x:si>
    <x:t xml:space="preserve">Palabras que admiten más de una interpretación técnica razonable dentro del dominio del sistema.</x:t>
  </x:si>
  <x:si>
    <x:t xml:space="preserve">“Validar la información médica de una mascota” puede leerse como diagnóstico clínico, certificación oficial o simple revisión documental.</x:t>
  </x:si>
  <x:si>
    <x:t xml:space="preserve">Requisito no verificable / incompleto</x:t>
  </x:si>
  <x:si>
    <x:t xml:space="preserve">No define un criterio, estado o umbral que permita comprobar objetivamente si el requisito se cumplió.</x:t>
  </x:si>
  <x:si>
    <x:t xml:space="preserve">“Evaluar compatibilidad entre mascotas para cruza” sin especificar los criterios mínimos de evaluación.</x:t>
  </x:si>
  <x:si>
    <x:t xml:space="preserve">Nota: un requisito puede presentar más de un tipo de mal olor a la vez. Seleccione el que considere predominante.</x:t>
  </x:si>
  <x:si>
    <x:t xml:space="preserve">CLAVE INTERNA — USO EXCLUSIVO DEL EQUIPO MUNDIPETS</x:t>
  </x:si>
  <x:si>
    <x:t xml:space="preserve">Correspondencia del corpus anonimizado actualizado (61 requisitos). Instrumento completamente diligenciado y revisado de manera personal, conservando la estructura, los criterios de clasificación, el diseño y la funcionalidad establecidos en el instrumento original.</x:t>
  </x:si>
  <x:si>
    <x:t xml:space="preserve">ID Anónimo</x:t>
  </x:si>
  <x:si>
    <x:t xml:space="preserve">ID Real</x:t>
  </x:si>
  <x:si>
    <x:t xml:space="preserve">Tipo (RF/RNF/RD/RL)</x:t>
  </x:si>
  <x:si>
    <x:t xml:space="preserve">Salida del detector</x:t>
  </x:si>
  <x:si>
    <x:t xml:space="preserve">Reglas activadas por el detector</x:t>
  </x:si>
  <x:si>
    <x:t xml:space="preserve">Coincide con consenso</x:t>
  </x:si>
  <x:si>
    <x:t xml:space="preserve">Angélica Tenecela</x:t>
  </x:si>
  <x:si>
    <x:t xml:space="preserve">Geovanny Ochoa</x:t>
  </x:si>
  <x:si>
    <x:t xml:space="preserve">Valeska Chica</x:t>
  </x:si>
  <x:si>
    <x:t xml:space="preserve">Consenso experto</x:t>
  </x:si>
  <x:si>
    <x:t xml:space="preserve">Acuerdo</x:t>
  </x:si>
  <x:si>
    <x:t xml:space="preserve">REQ-01</x:t>
  </x:si>
  <x:si>
    <x:t xml:space="preserve">RF-20</x:t>
  </x:si>
  <x:si>
    <x:t xml:space="preserve">RF</x:t>
  </x:si>
  <x:si>
    <x:t xml:space="preserve">No ambiguo</x:t>
  </x:si>
  <x:si>
    <x:t xml:space="preserve">Ninguna regla activada</x:t>
  </x:si>
  <x:si>
    <x:t xml:space="preserve">REQ-02</x:t>
  </x:si>
  <x:si>
    <x:t xml:space="preserve">RNF-09</x:t>
  </x:si>
  <x:si>
    <x:t xml:space="preserve">RNF</x:t>
  </x:si>
  <x:si>
    <x:t xml:space="preserve">Ambiguo</x:t>
  </x:si>
  <x:si>
    <x:t xml:space="preserve">Cuantificador vago / umbral insuficiente</x:t>
  </x:si>
  <x:si>
    <x:t xml:space="preserve">REQ-03</x:t>
  </x:si>
  <x:si>
    <x:t xml:space="preserve">RF-06</x:t>
  </x:si>
  <x:si>
    <x:t xml:space="preserve">Terminología imprecisa / verificabilidad</x:t>
  </x:si>
  <x:si>
    <x:t xml:space="preserve">REQ-04</x:t>
  </x:si>
  <x:si>
    <x:t xml:space="preserve">RNF-08</x:t>
  </x:si>
  <x:si>
    <x:t xml:space="preserve">REQ-05</x:t>
  </x:si>
  <x:si>
    <x:t xml:space="preserve">RD-07</x:t>
  </x:si>
  <x:si>
    <x:t xml:space="preserve">RD</x:t>
  </x:si>
  <x:si>
    <x:t xml:space="preserve">Restricción de diseño incompleta</x:t>
  </x:si>
  <x:si>
    <x:t xml:space="preserve">REQ-06</x:t>
  </x:si>
  <x:si>
    <x:t xml:space="preserve">RNF-10</x:t>
  </x:si>
  <x:si>
    <x:t xml:space="preserve">REQ-07</x:t>
  </x:si>
  <x:si>
    <x:t xml:space="preserve">RF-17</x:t>
  </x:si>
  <x:si>
    <x:t xml:space="preserve">REQ-08</x:t>
  </x:si>
  <x:si>
    <x:t xml:space="preserve">RF-12</x:t>
  </x:si>
  <x:si>
    <x:t xml:space="preserve">REQ-09</x:t>
  </x:si>
  <x:si>
    <x:t xml:space="preserve">RNF-03</x:t>
  </x:si>
  <x:si>
    <x:t xml:space="preserve">REQ-10</x:t>
  </x:si>
  <x:si>
    <x:t xml:space="preserve">RNF-11</x:t>
  </x:si>
  <x:si>
    <x:t xml:space="preserve">REQ-11</x:t>
  </x:si>
  <x:si>
    <x:t xml:space="preserve">RL-02</x:t>
  </x:si>
  <x:si>
    <x:t xml:space="preserve">RL</x:t>
  </x:si>
  <x:si>
    <x:t xml:space="preserve">Terminología normativa imprecisa</x:t>
  </x:si>
  <x:si>
    <x:t xml:space="preserve">REQ-12</x:t>
  </x:si>
  <x:si>
    <x:t xml:space="preserve">RNF-15</x:t>
  </x:si>
  <x:si>
    <x:t xml:space="preserve">REQ-13</x:t>
  </x:si>
  <x:si>
    <x:t xml:space="preserve">RNF-01</x:t>
  </x:si>
  <x:si>
    <x:t xml:space="preserve">REQ-14</x:t>
  </x:si>
  <x:si>
    <x:t xml:space="preserve">RF-15</x:t>
  </x:si>
  <x:si>
    <x:t xml:space="preserve">REQ-15</x:t>
  </x:si>
  <x:si>
    <x:t xml:space="preserve">RF-21</x:t>
  </x:si>
  <x:si>
    <x:t xml:space="preserve">REQ-16</x:t>
  </x:si>
  <x:si>
    <x:t xml:space="preserve">RF-14</x:t>
  </x:si>
  <x:si>
    <x:t xml:space="preserve">REQ-17</x:t>
  </x:si>
  <x:si>
    <x:t xml:space="preserve">RF-23</x:t>
  </x:si>
  <x:si>
    <x:t xml:space="preserve">REQ-18</x:t>
  </x:si>
  <x:si>
    <x:t xml:space="preserve">RD-04</x:t>
  </x:si>
  <x:si>
    <x:t xml:space="preserve">REQ-19</x:t>
  </x:si>
  <x:si>
    <x:t xml:space="preserve">RL-01</x:t>
  </x:si>
  <x:si>
    <x:t xml:space="preserve">REQ-20</x:t>
  </x:si>
  <x:si>
    <x:t xml:space="preserve">RF-02</x:t>
  </x:si>
  <x:si>
    <x:t xml:space="preserve">REQ-21</x:t>
  </x:si>
  <x:si>
    <x:t xml:space="preserve">RD-06</x:t>
  </x:si>
  <x:si>
    <x:t xml:space="preserve">REQ-22</x:t>
  </x:si>
  <x:si>
    <x:t xml:space="preserve">RNF-07</x:t>
  </x:si>
  <x:si>
    <x:t xml:space="preserve">REQ-23</x:t>
  </x:si>
  <x:si>
    <x:t xml:space="preserve">RF-05</x:t>
  </x:si>
  <x:si>
    <x:t xml:space="preserve">REQ-24</x:t>
  </x:si>
  <x:si>
    <x:t xml:space="preserve">RF-11</x:t>
  </x:si>
  <x:si>
    <x:t xml:space="preserve">REQ-25</x:t>
  </x:si>
  <x:si>
    <x:t xml:space="preserve">RNF-14</x:t>
  </x:si>
  <x:si>
    <x:t xml:space="preserve">REQ-26</x:t>
  </x:si>
  <x:si>
    <x:t xml:space="preserve">RF-09</x:t>
  </x:si>
  <x:si>
    <x:t xml:space="preserve">REQ-27</x:t>
  </x:si>
  <x:si>
    <x:t xml:space="preserve">RF-04</x:t>
  </x:si>
  <x:si>
    <x:t xml:space="preserve">REQ-28</x:t>
  </x:si>
  <x:si>
    <x:t xml:space="preserve">RL-03</x:t>
  </x:si>
  <x:si>
    <x:t xml:space="preserve">REQ-29</x:t>
  </x:si>
  <x:si>
    <x:t xml:space="preserve">RF-24</x:t>
  </x:si>
  <x:si>
    <x:t xml:space="preserve">REQ-30</x:t>
  </x:si>
  <x:si>
    <x:t xml:space="preserve">RNF-02</x:t>
  </x:si>
  <x:si>
    <x:t xml:space="preserve">REQ-31</x:t>
  </x:si>
  <x:si>
    <x:t xml:space="preserve">RD-03</x:t>
  </x:si>
  <x:si>
    <x:t xml:space="preserve">REQ-32</x:t>
  </x:si>
  <x:si>
    <x:t xml:space="preserve">RF-01</x:t>
  </x:si>
  <x:si>
    <x:t xml:space="preserve">REQ-33</x:t>
  </x:si>
  <x:si>
    <x:t xml:space="preserve">RD-05</x:t>
  </x:si>
  <x:si>
    <x:t xml:space="preserve">REQ-34</x:t>
  </x:si>
  <x:si>
    <x:t xml:space="preserve">RF-13</x:t>
  </x:si>
  <x:si>
    <x:t xml:space="preserve">REQ-35</x:t>
  </x:si>
  <x:si>
    <x:t xml:space="preserve">RD-01</x:t>
  </x:si>
  <x:si>
    <x:t xml:space="preserve">REQ-36</x:t>
  </x:si>
  <x:si>
    <x:t xml:space="preserve">RF-19</x:t>
  </x:si>
  <x:si>
    <x:t xml:space="preserve">REQ-37</x:t>
  </x:si>
  <x:si>
    <x:t xml:space="preserve">RF-16</x:t>
  </x:si>
  <x:si>
    <x:t xml:space="preserve">REQ-38</x:t>
  </x:si>
  <x:si>
    <x:t xml:space="preserve">RF-18</x:t>
  </x:si>
  <x:si>
    <x:t xml:space="preserve">REQ-39</x:t>
  </x:si>
  <x:si>
    <x:t xml:space="preserve">RD-09</x:t>
  </x:si>
  <x:si>
    <x:t xml:space="preserve">REQ-40</x:t>
  </x:si>
  <x:si>
    <x:t xml:space="preserve">RF-03</x:t>
  </x:si>
  <x:si>
    <x:t xml:space="preserve">REQ-41</x:t>
  </x:si>
  <x:si>
    <x:t xml:space="preserve">RF-25</x:t>
  </x:si>
  <x:si>
    <x:t xml:space="preserve">REQ-42</x:t>
  </x:si>
  <x:si>
    <x:t xml:space="preserve">RF-08</x:t>
  </x:si>
  <x:si>
    <x:t xml:space="preserve">REQ-43</x:t>
  </x:si>
  <x:si>
    <x:t xml:space="preserve">RF-22</x:t>
  </x:si>
  <x:si>
    <x:t xml:space="preserve">REQ-44</x:t>
  </x:si>
  <x:si>
    <x:t xml:space="preserve">RD-08</x:t>
  </x:si>
  <x:si>
    <x:t xml:space="preserve">REQ-45</x:t>
  </x:si>
  <x:si>
    <x:t xml:space="preserve">RL-04</x:t>
  </x:si>
  <x:si>
    <x:t xml:space="preserve">REQ-46</x:t>
  </x:si>
  <x:si>
    <x:t xml:space="preserve">RNF-12</x:t>
  </x:si>
  <x:si>
    <x:t xml:space="preserve">REQ-47</x:t>
  </x:si>
  <x:si>
    <x:t xml:space="preserve">RNF-05</x:t>
  </x:si>
  <x:si>
    <x:t xml:space="preserve">REQ-48</x:t>
  </x:si>
  <x:si>
    <x:t xml:space="preserve">RD-02</x:t>
  </x:si>
  <x:si>
    <x:t xml:space="preserve">REQ-49</x:t>
  </x:si>
  <x:si>
    <x:t xml:space="preserve">RNF-13</x:t>
  </x:si>
  <x:si>
    <x:t xml:space="preserve">REQ-50</x:t>
  </x:si>
  <x:si>
    <x:t xml:space="preserve">RL-05</x:t>
  </x:si>
  <x:si>
    <x:t xml:space="preserve">REQ-51</x:t>
  </x:si>
  <x:si>
    <x:t xml:space="preserve">RNF-16</x:t>
  </x:si>
  <x:si>
    <x:t xml:space="preserve">REQ-52</x:t>
  </x:si>
  <x:si>
    <x:t xml:space="preserve">RF-07</x:t>
  </x:si>
  <x:si>
    <x:t xml:space="preserve">REQ-53</x:t>
  </x:si>
  <x:si>
    <x:t xml:space="preserve">RNF-04</x:t>
  </x:si>
  <x:si>
    <x:t xml:space="preserve">REQ-54</x:t>
  </x:si>
  <x:si>
    <x:t xml:space="preserve">RNF-06</x:t>
  </x:si>
  <x:si>
    <x:t xml:space="preserve">REQ-55</x:t>
  </x:si>
  <x:si>
    <x:t xml:space="preserve">RF-10</x:t>
  </x:si>
  <x:si>
    <x:t xml:space="preserve">REQ-56</x:t>
  </x:si>
  <x:si>
    <x:t xml:space="preserve">RF-26</x:t>
  </x:si>
  <x:si>
    <x:t xml:space="preserve">REQ-57</x:t>
  </x:si>
  <x:si>
    <x:t xml:space="preserve">RF-27</x:t>
  </x:si>
  <x:si>
    <x:t xml:space="preserve">REQ-58</x:t>
  </x:si>
  <x:si>
    <x:t xml:space="preserve">RL-06</x:t>
  </x:si>
  <x:si>
    <x:t xml:space="preserve">REQ-59</x:t>
  </x:si>
  <x:si>
    <x:t xml:space="preserve">RL-07</x:t>
  </x:si>
  <x:si>
    <x:t xml:space="preserve">REQ-60</x:t>
  </x:si>
  <x:si>
    <x:t xml:space="preserve">RL-08</x:t>
  </x:si>
  <x:si>
    <x:t xml:space="preserve">REQ-61</x:t>
  </x:si>
  <x:si>
    <x:t xml:space="preserve">RL-09</x:t>
  </x:si>
  <x:si>
    <x:t xml:space="preserve">Corpus actualizado completo: 61 requisitos. La clave interna enlaza automáticamente las tres evaluaciones, calcula el consenso y el nivel de acuerdo.</x:t>
  </x:si>
  <x:si>
    <x:t xml:space="preserve">Rúbrica de Clasificación Experta — MundiPets (Enfoque 2)</x:t>
  </x:si>
  <x:si>
    <x:t xml:space="preserve">Evaluador(a): Angélica Michelle Tenecela Intriago | Fecha de evaluación: 28/07/2026</x:t>
  </x:si>
  <x:si>
    <x:t xml:space="preserve">Texto del Requisito</x:t>
  </x:si>
  <x:si>
    <x:t xml:space="preserve">Clasificación</x:t>
  </x:si>
  <x:si>
    <x:t xml:space="preserve">Tipo de mal olor detectado</x:t>
  </x:si>
  <x:si>
    <x:t xml:space="preserve">Justificación breve</x:t>
  </x:si>
  <x:si>
    <x:t xml:space="preserve">Confianza (1-5)</x:t>
  </x:si>
  <x:si>
    <x:t xml:space="preserve">Evaluador</x:t>
  </x:si>
  <x:si>
    <x:t xml:space="preserve">Fecha</x:t>
  </x:si>
  <x:si>
    <x:t xml:space="preserve">REQ-00 (ejemplo)</x:t>
  </x:si>
  <x:si>
    <x:t xml:space="preserve">El sistema deberá permitir al propietario registrar una mascota ingresando su información general, incluyendo nombre, especie, raza, sexo, edad, estado reproductivo y fotografías para su identificación dentro de la plataforma.</x:t>
  </x:si>
  <x:si>
    <x:t xml:space="preserve">Ninguno</x:t>
  </x:si>
  <x:si>
    <x:t xml:space="preserve">Define entradas concretas y no usa cuantificadores vagos.</x:t>
  </x:si>
  <x:si>
    <x:t xml:space="preserve">Ejemplo</x:t>
  </x:si>
  <x:si>
    <x:t xml:space="preserve">—</x:t>
  </x:si>
  <x:si>
    <x:t xml:space="preserve">El sistema deberá permitir a los propietarios coordinar encuentros presenciales entre mascotas y sus dueños en espacios públicos, con fines de socialización previa a procesos de adopción o cruza.</x:t>
  </x:si>
  <x:si>
    <x:t xml:space="preserve">La redacción contiene actor, acción y condiciones suficientes para plantear una verificación objetiva.</x:t>
  </x:si>
  <x:si>
    <x:t xml:space="preserve">Angélica Michelle Tenecela Intriago</x:t>
  </x:si>
  <x:si>
    <x:t xml:space="preserve">El sistema deberá integrarse con servicios externos de mensajería (WhatsApp Business API) para el envío de recordatorios de controles preventivos (RF-10), garantizando la entrega correcta del mensaje sin duplicarlo ni perderlo.</x:t>
  </x:si>
  <x:si>
    <x:t xml:space="preserve">La integración, el canal y la condición de no duplicación ni pérdida están expresados y pueden verificarse mediante pruebas de envío.</x:t>
  </x:si>
  <x:si>
    <x:t xml:space="preserve">28/07/2026</x:t>
  </x:si>
  <x:si>
    <x:t xml:space="preserve">El sistema deberá evaluar la compatibilidad entre dos mascotas registradas para procesos de cruza, considerando su raza, edad, estado de salud, antecedentes genéticos, parentesco, comportamiento e historial médico.</x:t>
  </x:si>
  <x:si>
    <x:t xml:space="preserve">Enumera factores de compatibilidad, pero no define el método, la escala ni el resultado mínimo esperado para comprobar la evaluación.</x:t>
  </x:si>
  <x:si>
    <x:t xml:space="preserve">El sistema deberá reflejar las actualizaciones realizadas sobre la información de mascotas, historiales médicos y publicaciones en un tiempo máximo de 5 segundos, garantizando que los usuarios consulten información actualizada.</x:t>
  </x:si>
  <x:si>
    <x:t xml:space="preserve">Incluye una métrica, umbral, plataforma o condición objetiva que permite comprobar su cumplimiento.</x:t>
  </x:si>
  <x:si>
    <x:t xml:space="preserve">El sistema deberá contar con un mecanismo de detección y registro de incidentes de seguridad que permita notificar a la Autoridad de Protección de Datos Personales en un máximo de 5 días y al titular afectado en un máximo de 3 días, cuando el incidente comprometa sus derechos.</x:t>
  </x:si>
  <x:si>
    <x:t xml:space="preserve">La restricción técnica u organizativa establece un mecanismo, tecnología o condición concreta aplicable al diseño.</x:t>
  </x:si>
  <x:si>
    <x:t xml:space="preserve">El sistema deberá organizarse en módulos independientes (gestión de mascotas, adopción/cruza, mensajería, componente de IA), de forma que una modificación en un módulo no requiera cambios en más del 10 % de los archivos de otro módulo, en línea con RD-05.</x:t>
  </x:si>
  <x:si>
    <x:t xml:space="preserve">El sistema deberá validar que la imagen cargada corresponda visualmente a una mascota y no contenga contenido explícito, violento u ofensivo, conforme a la política de contenido de la plataforma.</x:t>
  </x:si>
  <x:si>
    <x:t xml:space="preserve">«Corresponda visualmente a una mascota» y «contenido ofensivo» admiten criterios de interpretación distintos si no se operacionalizan.</x:t>
  </x:si>
  <x:si>
    <x:t xml:space="preserve">31/08/2026</x:t>
  </x:si>
  <x:si>
    <x:t xml:space="preserve">El sistema deberá verificar la identidad de los usuarios mediante la carga y validación de un documento de identidad oficial y vigente, antes de habilitar su participación en procesos de adopción o cruza.</x:t>
  </x:si>
  <x:si>
    <x:t xml:space="preserve">Define el documento requerido, su vigencia y la condición previa para habilitar adopción o cruza.</x:t>
  </x:si>
  <x:si>
    <x:t xml:space="preserve">El sistema deberá responder a las consultas de perfiles de mascotas, historial médico y resultados de búsqueda en un tiempo máximo de 2 segundos en el percentil 95, bajo una carga nominal de 100 usuarios concurrentes. Este criterio aplica exclusivamente al entorno de producción con backend desplegado; no es exigible ni medible sobre el MVP local descrito en la Sección 6.1, que persiste su información en localStorage sin un servidor sobre el cual ejecutar una prueba de carga concurrente.</x:t>
  </x:si>
  <x:si>
    <x:t xml:space="preserve">Fija tiempo máximo, percentil, carga nominal y delimita expresamente el entorno donde debe medirse.</x:t>
  </x:si>
  <x:si>
    <x:t xml:space="preserve">El sistema deberá funcionar correctamente en los navegadores Chrome, Firefox y Safari (dos últimas versiones estables) y adaptarse de forma responsiva a pantallas móviles y de escritorio.</x:t>
  </x:si>
  <x:si>
    <x:t xml:space="preserve">Especifica navegadores, versiones y los dos tipos de pantalla sobre los que debe comprobarse la adaptación.</x:t>
  </x:si>
  <x:si>
    <x:t xml:space="preserve">El titular debe ser informado sobre la finalidad, el responsable y las transferencias de sus datos, y tiene derecho a acceder gratuitamente a ellos dentro de 15 días.</x:t>
  </x:si>
  <x:si>
    <x:t xml:space="preserve">Agrupa el deber de información y el derecho de acceso gratuito en un mismo enunciado, aunque requieren verificaciones diferentes.</x:t>
  </x:si>
  <x:si>
    <x:t xml:space="preserve">Cuando un mensaje sea reportado por un usuario conforme al mecanismo de reporte manual de RF-07, el sistema deberá notificar al remitente la categoría del motivo señalado (lenguaje ofensivo, spam o acuerdo externo indebido) mediante una explicación por ejemplos.</x:t>
  </x:si>
  <x:si>
    <x:t xml:space="preserve">Define el disparador, destinatario, categorías del motivo y forma de explicación que debe producir el sistema.</x:t>
  </x:si>
  <x:si>
    <x:t xml:space="preserve">El sistema deberá impedir el acceso no autorizado a la información personal de los propietarios y al historial médico de las mascotas, garantizando que durante las pruebas de seguridad no se produzcan accesos exitosos por parte de usuarios sin los permisos correspondientes.</x:t>
  </x:si>
  <x:si>
    <x:t xml:space="preserve">El sistema deberá permitir al propietario consultar el historial de solicitudes y procesos de adopción y cruza asociados a sus mascotas, incluyendo su estado y fecha de realización.</x:t>
  </x:si>
  <x:si>
    <x:t xml:space="preserve">La función, los datos o condiciones principales y el resultado esperado están suficientemente delimitados para diseñar una prueba funcional.</x:t>
  </x:si>
  <x:si>
    <x:t xml:space="preserve">El sistema deberá permitir registrar y consultar el número de microchip de identificación de una mascota como parte de su perfil.</x:t>
  </x:si>
  <x:si>
    <x:t xml:space="preserve">El sistema deberá permitir registrar, actualizar y consultar el carnet de vacunación de cada mascota, mostrando el historial de vacunas aplicadas, fechas, próximas dosis y su estado de vigencia.</x:t>
  </x:si>
  <x:si>
    <x:t xml:space="preserve">El sistema deberá emitir una alerta cuando se intente registrar una interacción o solicitud de cruza entre mascotas que presenten una diferencia de peso corporal registrado superior al 40 % entre ambas, o cuando alguna tenga una enfermedad contagiosa activa registrada en su historial médico.</x:t>
  </x:si>
  <x:si>
    <x:t xml:space="preserve">Establece dos condiciones objetivas de activación de la alerta: diferencia de peso superior al 40 % o enfermedad contagiosa activa.</x:t>
  </x:si>
  <x:si>
    <x:t xml:space="preserve">El sistema deberá diseñarse para proteger la información personal de los propietarios y la información clínica de las mascotas mediante mecanismos de autenticación y autorización, aplicando el principio de protección de datos desde el diseño y por defecto (Art. 39 LOPDP).</x:t>
  </x:si>
  <x:si>
    <x:t xml:space="preserve">Los principios de protección desde el diseño y por defecto son amplios y no se traducen en controles verificables concretos.</x:t>
  </x:si>
  <x:si>
    <x:t xml:space="preserve">El tratamiento de datos personales del propietario debe basarse en un consentimiento libre, específico, informado e inequívoco, revocable en cualquier momento.</x:t>
  </x:si>
  <x:si>
    <x:t xml:space="preserve">La obligación legal identifica el derecho o deber aplicable y establece condiciones suficientemente explícitas para su verificación.</x:t>
  </x:si>
  <x:si>
    <x:t xml:space="preserve">El sistema deberá permitir registrar el historial médico de una mascota, incluyendo desparasitaciones, enfermedades, alergias, cirugías, tratamientos y controles veterinarios.</x:t>
  </x:si>
  <x:si>
    <x:t xml:space="preserve">Enumera de forma concreta los componentes del historial médico que deben poder registrarse.</x:t>
  </x:si>
  <x:si>
    <x:t xml:space="preserve">El sistema deberá permitir que el propietario solicite la eliminación de su cuenta y de los datos personales asociados, ejecutando la supresión (o anonimización cuando exista obligación legal de conservación) dentro de un plazo definido.</x:t>
  </x:si>
  <x:si>
    <x:t xml:space="preserve">La expresión «dentro de un plazo definido» no establece el número de días para ejecutar la supresión o anonimización.</x:t>
  </x:si>
  <x:si>
    <x:t xml:space="preserve">El sistema deberá clasificar correctamente, mediante su componente de inteligencia artificial, al menos el 95 % de las imágenes cargadas como válidas o inválidas según el tipo de fotografía esperado.</x:t>
  </x:si>
  <x:si>
    <x:t xml:space="preserve">La precisión de validación está definida mediante el criterio cuantitativo establecido en la redacción vigente.</x:t>
  </x:si>
  <x:si>
    <x:t xml:space="preserve">El sistema deberá permitir que un usuario interesado envíe una solicitud de adopción, incluyendo su fotografía de perfil, y que el propietario la acepte o rechace en una primera revisión, con base en la información del solicitante.</x:t>
  </x:si>
  <x:si>
    <x:t xml:space="preserve">Delimita la condición sanitaria o física que activa la alerta y el momento funcional en que debe mostrarse.</x:t>
  </x:si>
  <x:si>
    <x:t xml:space="preserve">El sistema deberá permitir que el propietario determine qué información de su mascota y de su perfil podrá ser visualizada por otros usuarios, protegiendo los datos considerados sensibles (ubicación, datos de contacto y afecciones específicas).</x:t>
  </x:si>
  <x:si>
    <x:t xml:space="preserve">Especifica los datos de trazabilidad de la vacuna y permite comprobar su registro y consulta.</x:t>
  </x:si>
  <x:si>
    <x:t xml:space="preserve">Cuando una imagen sea rechazada por el componente de inteligencia artificial, el sistema deberá informar el motivo específico (contenido inapropiado, imagen borrosa, tipo de fotografía incorrecto) mediante una explicación por contraste, en un máximo de 30 palabras.</x:t>
  </x:si>
  <x:si>
    <x:t xml:space="preserve">Define actor, contenido del aviso y finalidad de publicación pública de la mascota extraviada.</x:t>
  </x:si>
  <x:si>
    <x:t xml:space="preserve">El sistema deberá permitir que una veterinaria autorizada valide la información médica registrada de una mascota, indicando que los datos han sido verificados por un profesional.</x:t>
  </x:si>
  <x:si>
    <x:t xml:space="preserve">El verbo «validar» puede significar revisión documental, certificación profesional o confirmación clínica, sin delimitar su alcance.</x:t>
  </x:si>
  <x:si>
    <x:t xml:space="preserve">El sistema deberá permitir buscar mascotas aplicando filtros como especie, raza, edad, ubicación, estado de salud, tamaño, temperamento y disponibilidad para adopción o cruza.</x:t>
  </x:si>
  <x:si>
    <x:t xml:space="preserve">El titular tiene derecho a la rectificación y actualización de sus datos inexactos o incompletos, en un plazo de 15 días.</x:t>
  </x:si>
  <x:si>
    <x:t xml:space="preserve">El sistema deberá permitir registrar, además de la fecha, la cepa o marca del biológico y el profesional que aplicó cada vacuna dentro del carnet de vacunación.</x:t>
  </x:si>
  <x:si>
    <x:t xml:space="preserve">La redacción establece una condición cuantificable y un resultado observable para la evaluación.</x:t>
  </x:si>
  <x:si>
    <x:t xml:space="preserve">El sistema deberá mantenerse disponible para los usuarios con una disponibilidad mínima del 99 % mensual, permitiendo el acceso continuo a sus funcionalidades durante la operación normal de la plataforma. Este criterio aplica exclusivamente al entorno de producción con backend desplegado; no es exigible ni medible sobre el MVP local descrito en la Sección 6.1, al no operar este último en un ambiente de uso continuo que permita demostrar disponibilidad mensual.</x:t>
  </x:si>
  <x:si>
    <x:t xml:space="preserve">Los elementos funcionales y la condición de cumplimiento están suficientemente delimitados para una prueba.</x:t>
  </x:si>
  <x:si>
    <x:t xml:space="preserve">El sistema deberá permitir que la validación de la información médica sea realizada únicamente por veterinarias autorizadas.</x:t>
  </x:si>
  <x:si>
    <x:t xml:space="preserve">El sistema deberá organizarse en módulos independientes para facilitar el mantenimiento y la incorporación de nuevas funcionalidades, como componentes de inteligencia artificial o nuevos procesos relacionados con mascotas.</x:t>
  </x:si>
  <x:si>
    <x:t xml:space="preserve">Los conceptos «módulos independientes» y «facilitar el mantenimiento» no incluyen criterios técnicos para medir el desacoplamiento.</x:t>
  </x:si>
  <x:si>
    <x:t xml:space="preserve">El sistema deberá permitir al propietario publicar una mascota indicando si estará disponible para adopción, cruza o ambas opciones, incluyendo toda la información autorizada del perfil de la mascota.</x:t>
  </x:si>
  <x:si>
    <x:t xml:space="preserve">La condición de calidad está expresada mediante un criterio objetivo que permite contrastar el cumplimiento.</x:t>
  </x:si>
  <x:si>
    <x:t xml:space="preserve">El sistema deberá incorporar componentes de inteligencia artificial para la evaluación de compatibilidad entre mascotas y la validación de imágenes cargadas por los usuarios.</x:t>
  </x:si>
  <x:si>
    <x:t xml:space="preserve">El requisito identifica de manera concreta la función o restricción y el resultado esperado.</x:t>
  </x:si>
  <x:si>
    <x:t xml:space="preserve">El sistema deberá permitir adjuntar certificados veterinarios de ambas mascotas y que una veterinaria registrada los valide antes de habilitar la opción de cruza.</x:t>
  </x:si>
  <x:si>
    <x:t xml:space="preserve">El sistema deberá permitir registrar y consultar los antecedentes genéticos y el grado de parentesco de una mascota, incluyendo información sobre enfermedades hereditarias y linaje para apoyar los procesos de cruza responsable y la evaluación de compatibilidad.</x:t>
  </x:si>
  <x:si>
    <x:t xml:space="preserve">Se especifican los datos que deben registrarse —linaje, enfermedades hereditarias y parentesco— y su uso previsto.</x:t>
  </x:si>
  <x:si>
    <x:t xml:space="preserve">El sistema deberá guiar la solicitud de adopción a través de etapas secuenciales (formulario, entrevista, visita al hogar, periodo de prueba y compromiso firmado), mostrando al solicitante y al propietario el estado de cumplimiento de cada etapa.</x:t>
  </x:si>
  <x:si>
    <x:t xml:space="preserve">El equipo del proyecto deberá anonimizar o seudonimizar las transcripciones, videos y respuestas de cuestionario antes de incluirlas en el conjunto de datos abierto (Zenodo/OSF), removiendo identificadores directos del propietario.</x:t>
  </x:si>
  <x:si>
    <x:t xml:space="preserve">La obligación está delimitada mediante condiciones explícitas y puede verificarse contra el comportamiento esperado.</x:t>
  </x:si>
  <x:si>
    <x:t xml:space="preserve">El sistema deberá permitir visualizar el perfil completo de una mascota mostrando su información general, historial médico autorizado, fotografías, comportamiento, vacunas, edad, raza para procesos de adopción o cruza.</x:t>
  </x:si>
  <x:si>
    <x:t xml:space="preserve">La redacción actual acota el alcance y permite diseñar una comprobación objetiva.</x:t>
  </x:si>
  <x:si>
    <x:t xml:space="preserve">El sistema deberá permitir al propietario publicar un aviso público de mascota extraviada, incluyendo fotografías, identificador de microchip y datos de contacto para facilitar su localización.</x:t>
  </x:si>
  <x:si>
    <x:t xml:space="preserve">El sistema deberá permitir que los propietarios soliciten procesos de cruza entre mascotas y que el propietario de la otra mascota pueda aceptar o rechazar la solicitud con base en la información disponible.</x:t>
  </x:si>
  <x:si>
    <x:t xml:space="preserve">Reúne la creación de la solicitud y su aceptación o rechazo, y además usa la expresión abierta «información disponible».</x:t>
  </x:si>
  <x:si>
    <x:t xml:space="preserve">El sistema deberá permitir mantener un contacto periódico entre adoptante y propietario original tras completarse una adopción, registrando un compromiso firmado y el estado del seguimiento.</x:t>
  </x:si>
  <x:si>
    <x:t xml:space="preserve">La expresión «contacto periódico» no establece frecuencia, duración ni eventos mínimos del seguimiento post-adopción.</x:t>
  </x:si>
  <x:si>
    <x:t xml:space="preserve">El sistema deberá integrarse con un proveedor externo de mensajería (WhatsApp Business API) para el envío de recordatorios (RF-10), quedando su disponibilidad condicionada a las políticas y disponibilidad de dicho proveedor.</x:t>
  </x:si>
  <x:si>
    <x:t xml:space="preserve">El titular tiene derecho a solicitar la eliminación de sus datos personales cuando revoque el consentimiento o estos ya no sean necesarios.</x:t>
  </x:si>
  <x:si>
    <x:t xml:space="preserve">El sistema deberá soportar el incremento de usuarios concurrentes sin degradar significativamente el tiempo de respuesta definido en RNF-03, permitiendo escalar horizontalmente los servidores de aplicación.</x:t>
  </x:si>
  <x:si>
    <x:t xml:space="preserve">La expresión «sin degradar significativamente» no fija un porcentaje de degradación permitido respecto de RNF-03.</x:t>
  </x:si>
  <x:si>
    <x:t xml:space="preserve">El sistema deberá garantizar que únicamente los usuarios autorizados puedan modificar el historial médico de una mascota, evitando que durante las pruebas se produzcan modificaciones no autorizadas.</x:t>
  </x:si>
  <x:si>
    <x:t xml:space="preserve">El sistema deberá implementar un mecanismo de control de acceso basado en roles para diferenciar los permisos de propietarios, veterinarias y administradores.</x:t>
  </x:si>
  <x:si>
    <x:t xml:space="preserve">Enumera roles, pero no define la matriz de permisos o las operaciones permitidas y prohibidas para cada uno.</x:t>
  </x:si>
  <x:si>
    <x:t xml:space="preserve">El sistema deberá presentar, junto con el resultado de compatibilidad para cruza, una explicación causal de los factores que influyeron en el resultado (raza, edad, estado de salud, antecedentes genéticos), en un máximo de 60 palabras y con un tiempo de generación no mayor a 2 segundos.</x:t>
  </x:si>
  <x:si>
    <x:t xml:space="preserve">Los datos deben limitarse a lo estrictamente necesario para la finalidad (minimización) y protegerse frente a accesos no autorizados (seguridad).</x:t>
  </x:si>
  <x:si>
    <x:t xml:space="preserve">La expresión «estrictamente necesario» no establece un criterio operativo para decidir qué datos son mínimos para cada finalidad.</x:t>
  </x:si>
  <x:si>
    <x:t xml:space="preserve">El sistema deberá ocultar por defecto la ubicación exacta y los datos de contacto directo del propietario, mostrando únicamente una zona aproximada (radio ≥ 1 km) a usuarios no autorizados, en cumplimiento del principio de minimización de la LOPDP.</x:t>
  </x:si>
  <x:si>
    <x:t xml:space="preserve">El sistema deberá permitir la comunicación entre propietarios e interesados mediante mensajes para coordinar procesos de adopción y cruza, incluyendo la posibilidad de que el usuario reporte un mensaje o interacción como spam, lenguaje ofensivo o intento de acuerdo externo indebido, registrando el motivo del reporte asociado a la conversación.</x:t>
  </x:si>
  <x:si>
    <x:t xml:space="preserve">Define la comunicación, los procesos en que se usa, las categorías de reporte y el registro del motivo asociado a la conversación.</x:t>
  </x:si>
  <x:si>
    <x:t xml:space="preserve">El sistema deberá permitir que al menos el 90 % de los usuarios completen las tareas principales (registrar una mascota, consultar su información y enviar solicitudes de adopción o cruza) sin necesidad de capacitación previa, y alcanzar una puntuación media ≥ 80/100 en la escala System Usability Scale (SUS).</x:t>
  </x:si>
  <x:si>
    <x:t xml:space="preserve">Incluye dos métricas verificables: al menos 90 % de éxito en tareas y puntuación media SUS de 80/100 o superior.</x:t>
  </x:si>
  <x:si>
    <x:t xml:space="preserve">El sistema deberá generar, mediante su componente de inteligencia artificial, recomendaciones de compatibilidad para procesos de cruza con una coincidencia mínima del 85 % respecto a las evaluaciones realizadas por médicos veterinarios durante las pruebas de validación.</x:t>
  </x:si>
  <x:si>
    <x:t xml:space="preserve">Fija una coincidencia mínima del 85 % y establece como referencia las evaluaciones de médicos veterinarios.</x:t>
  </x:si>
  <x:si>
    <x:t xml:space="preserve">El sistema deberá entregar al propietario, con una semana y un día de anticipación, un recordatorio sobre próximas vacunas, desparasitaciones y controles veterinarios de la mascota, utilizando WhatsApp como canal principal y el canal de notificación in-app como respaldo automático cuando el proveedor externo no esté disponible</x:t>
  </x:si>
  <x:si>
    <x:t xml:space="preserve">Define anticipación temporal, tipos de controles, canal principal y canal de respaldo ante indisponibilidad externa.</x:t>
  </x:si>
  <x:si>
    <x:t xml:space="preserve">El sistema deberá permitir que una segunda veterinaria autorizada revise y confirme o cuestione la validación de la información médica de una mascota realizada previamente por otra veterinaria, dejando constancia de ambas validaciones dentro del historial médico.</x:t>
  </x:si>
  <x:si>
    <x:t xml:space="preserve">«Confirme o cuestione» no define el criterio clínico/documental que debe aplicar la segunda veterinaria ni cómo se resuelve una discrepancia.</x:t>
  </x:si>
  <x:si>
    <x:t xml:space="preserve">El sistema deberá registrar la cantidad de procesos de cruza completados por cada mascota y emitir una alerta al propietario y al interesado cuando una misma mascota supere dos procesos de cruza completados dentro de un periodo de seis meses.</x:t>
  </x:si>
  <x:si>
    <x:t xml:space="preserve">El umbral está cuantificado: más de dos procesos completados dentro de seis meses, con destinatarios de la alerta identificados.</x:t>
  </x:si>
  <x:si>
    <x:t xml:space="preserve">El titular tiene derecho a no ser objeto de una decisión basada únicamente en valoraciones automatizadas sin recibir una explicación motivada sobre ella.</x:t>
  </x:si>
  <x:si>
    <x:t xml:space="preserve">«Explicación motivada» no especifica contenido mínimo, profundidad ni criterio para determinar que la explicación es suficiente.</x:t>
  </x:si>
  <x:si>
    <x:t xml:space="preserve">Los datos sensibles y los datos de salud del propietario requieren consentimiento explícito y confidencialidad reforzada; el historial clínico de la mascota se protege como extensión indirecta de esos datos.</x:t>
  </x:si>
  <x:si>
    <x:t xml:space="preserve">«Confidencialidad reforzada» y «extensión indirecta» no se traducen en controles o condiciones verificables concretas.</x:t>
  </x:si>
  <x:si>
    <x:t xml:space="preserve">El sistema debe implementar protección de datos desde el diseño y por defecto, tratando solo los datos estrictamente necesarios para cada finalidad.</x:t>
  </x:si>
  <x:si>
    <x:t xml:space="preserve">«Estrictamente necesarios» no establece qué datos son mínimos para cada finalidad ni un criterio operativo de minimización.</x:t>
  </x:si>
  <x:si>
    <x:t xml:space="preserve">Ante una vulneración de seguridad que afecte derechos del titular, debe notificarse a la Autoridad de Protección de Datos en máximo 5 días y al titular afectado en máximo 3 días.</x:t>
  </x:si>
  <x:si>
    <x:t xml:space="preserve">Identifica el evento disparador, los dos destinatarios y los plazos máximos de 5 y 3 días.</x:t>
  </x:si>
  <x:si>
    <x:t xml:space="preserve">Resumen de la evaluación actualizada</x:t>
  </x:si>
  <x:si>
    <x:t xml:space="preserve">Total de requisitos</x:t>
  </x:si>
  <x:si>
    <x:t xml:space="preserve">Evaluados</x:t>
  </x:si>
  <x:si>
    <x:t xml:space="preserve">Confianza media</x:t>
  </x:si>
  <x:si>
    <x:t xml:space="preserve">Cobertura</x:t>
  </x:si>
  <x:si>
    <x:t xml:space="preserve">100 %</x:t>
  </x:si>
  <x:si>
    <x:t xml:space="preserve">Evaluador(a): Geovanny Alexander Ochoa Gilces | Fecha de evaluación: 28/07/2026</x:t>
  </x:si>
  <x:si>
    <x:t xml:space="preserve">Geovanny Alexander Ochoa Gilces</x:t>
  </x:si>
  <x:si>
    <x:t xml:space="preserve">Evaluador(a): Valeska Sofia Chica Valfre | Fecha de evaluación: 28/07/2026</x:t>
  </x:si>
  <x:si>
    <x:t xml:space="preserve">Valeska Sofia Chica Valfre</x:t>
  </x:si>
</x:sst>
</file>

<file path=xl/styles.xml><?xml version="1.0" encoding="utf-8"?>
<x:styleSheet xmlns:x="http://schemas.openxmlformats.org/spreadsheetml/2006/main">
  <x:fonts count="18">
    <x:font>
      <x:sz val="11"/>
      <x:color theme="1"/>
      <x:name val="Calibri"/>
    </x:font>
    <x:font>
      <x:sz val="10"/>
      <x:name val="Times New Roman"/>
    </x:font>
    <x:font>
      <x:b/>
      <x:sz val="16"/>
      <x:color rgb="FF006E3C"/>
      <x:name val="Times New Roman"/>
    </x:font>
    <x:font>
      <x:sz val="11"/>
      <x:color theme="1"/>
      <x:name val="Times New Roman"/>
    </x:font>
    <x:font>
      <x:i/>
      <x:sz val="11"/>
      <x:color rgb="FF555555"/>
      <x:name val="Times New Roman"/>
    </x:font>
    <x:font>
      <x:b/>
      <x:sz val="10"/>
      <x:name val="Times New Roman"/>
    </x:font>
    <x:font>
      <x:i/>
      <x:sz val="9"/>
      <x:color rgb="FF777777"/>
      <x:name val="Times New Roman"/>
    </x:font>
    <x:font>
      <x:sz val="11"/>
      <x:name val="Times New Roman"/>
    </x:font>
    <x:font>
      <x:b/>
      <x:sz val="11"/>
      <x:color rgb="FF006E3C"/>
      <x:name val="Times New Roman"/>
    </x:font>
    <x:font>
      <x:b/>
      <x:sz val="11"/>
      <x:name val="Times New Roman"/>
    </x:font>
    <x:font>
      <x:i/>
      <x:sz val="11"/>
      <x:color rgb="FF777777"/>
      <x:name val="Times New Roman"/>
    </x:font>
    <x:font>
      <x:b/>
      <x:sz val="11"/>
      <x:color rgb="FFFFFFFF"/>
      <x:name val="Times New Roman"/>
    </x:font>
    <x:font>
      <x:i/>
      <x:sz val="10"/>
      <x:color rgb="FF555555"/>
      <x:name val="Times New Roman"/>
    </x:font>
    <x:font>
      <x:b/>
      <x:sz val="10"/>
      <x:color rgb="FFFFFFFF"/>
      <x:name val="Times New Roman"/>
    </x:font>
    <x:font>
      <x:sz val="10"/>
      <x:color theme="1"/>
      <x:name val="Times New Roman"/>
    </x:font>
    <x:font>
      <x:i/>
      <x:sz val="9"/>
      <x:color rgb="FF555555"/>
      <x:name val="Times New Roman"/>
    </x:font>
    <x:font>
      <x:b/>
      <x:sz val="14"/>
      <x:color rgb="FFC00000"/>
      <x:name val="Times New Roman"/>
    </x:font>
    <x:font>
      <x:sz val="10"/>
      <x:color rgb="FF000000"/>
      <x:name val="Times New Roman"/>
    </x:font>
  </x:fonts>
  <x:fills count="9">
    <x:fill>
      <x:patternFill patternType="none"/>
    </x:fill>
    <x:fill>
      <x:patternFill patternType="gray125"/>
    </x:fill>
    <x:fill>
      <x:patternFill patternType="solid">
        <x:fgColor rgb="FFE6F2EC"/>
      </x:patternFill>
    </x:fill>
    <x:fill>
      <x:patternFill patternType="solid">
        <x:fgColor rgb="FF006E3C"/>
      </x:patternFill>
    </x:fill>
    <x:fill>
      <x:patternFill patternType="solid">
        <x:fgColor rgb="FFFFF9CC"/>
      </x:patternFill>
    </x:fill>
    <x:fill>
      <x:patternFill patternType="solid">
        <x:fgColor rgb="FF006E3C"/>
      </x:patternFill>
    </x:fill>
    <x:fill>
      <x:patternFill patternType="solid">
        <x:fgColor rgb="FFF2F2F2"/>
      </x:patternFill>
    </x:fill>
    <x:fill>
      <x:patternFill patternType="solid">
        <x:fgColor rgb="FFFFFFFF"/>
      </x:patternFill>
    </x:fill>
    <x:fill>
      <x:patternFill patternType="solid">
        <x:fgColor rgb="FFFFF8CC"/>
      </x:patternFill>
    </x:fill>
  </x:fills>
  <x:borders count="14">
    <x:border/>
    <x:border>
      <x:left style="thin">
        <x:color rgb="FFBBBBBB"/>
      </x:left>
      <x:right style="thin">
        <x:color rgb="FFBBBBBB"/>
      </x:right>
      <x:top style="thin">
        <x:color rgb="FFBBBBBB"/>
      </x:top>
      <x:bottom style="thin">
        <x:color rgb="FFBBBBBB"/>
      </x:bottom>
    </x:border>
    <x:border>
      <x:left style="thin">
        <x:color rgb="FFBBBBBB"/>
      </x:left>
      <x:top style="thin">
        <x:color rgb="FFBBBBBB"/>
      </x:top>
      <x:bottom style="thin">
        <x:color rgb="FFBBBBBB"/>
      </x:bottom>
    </x:border>
    <x:border>
      <x:top style="thin">
        <x:color rgb="FFBBBBBB"/>
      </x:top>
      <x:bottom style="thin">
        <x:color rgb="FFBBBBBB"/>
      </x:bottom>
    </x:border>
    <x:border>
      <x:right style="thin">
        <x:color rgb="FFBBBBBB"/>
      </x:right>
      <x:top style="thin">
        <x:color rgb="FFBBBBBB"/>
      </x:top>
      <x:bottom style="thin">
        <x:color rgb="FFBBBBBB"/>
      </x:bottom>
    </x:border>
    <x:border>
      <x:left style="thin">
        <x:color rgb="FFBBBBBB"/>
      </x:left>
      <x:top style="thin">
        <x:color rgb="FFBBBBBB"/>
      </x:top>
    </x:border>
    <x:border>
      <x:top style="thin">
        <x:color rgb="FFBBBBBB"/>
      </x:top>
    </x:border>
    <x:border>
      <x:right style="thin">
        <x:color rgb="FFBBBBBB"/>
      </x:right>
      <x:top style="thin">
        <x:color rgb="FFBBBBBB"/>
      </x:top>
    </x:border>
    <x:border>
      <x:left style="thin">
        <x:color rgb="FFBBBBBB"/>
      </x:left>
    </x:border>
    <x:border>
      <x:right style="thin">
        <x:color rgb="FFBBBBBB"/>
      </x:right>
    </x:border>
    <x:border>
      <x:left style="thin">
        <x:color rgb="FFBBBBBB"/>
      </x:left>
      <x:bottom style="thin">
        <x:color rgb="FFBBBBBB"/>
      </x:bottom>
    </x:border>
    <x:border>
      <x:bottom style="thin">
        <x:color rgb="FFBBBBBB"/>
      </x:bottom>
    </x:border>
    <x:border>
      <x:right style="thin">
        <x:color rgb="FFBBBBBB"/>
      </x:right>
      <x:bottom style="thin">
        <x:color rgb="FFBBBBBB"/>
      </x:bottom>
    </x:border>
    <x:border>
      <x:left style="thin">
        <x:color rgb="FFBBBBBB"/>
      </x:left>
      <x:right style="thin">
        <x:color rgb="FFBBBBBB"/>
      </x:right>
      <x:bottom style="thin">
        <x:color rgb="FFBBBBBB"/>
      </x:bottom>
    </x:border>
  </x:borders>
  <x:cellStyleXfs count="1">
    <x:xf numFmtId="0" fontId="0" fillId="0" borderId="0"/>
  </x:cellStyleXfs>
  <x:cellXfs count="74">
    <x:xf numFmtId="0" fontId="0" fillId="0" borderId="0" xfId="0"/>
    <x:xf numFmtId="0" fontId="2" fillId="0" borderId="0" xfId="0" applyFont="1"/>
    <x:xf numFmtId="0" fontId="3" fillId="0" borderId="0" xfId="0" applyFont="1"/>
    <x:xf numFmtId="0" fontId="4" fillId="0" borderId="0" xfId="0" applyFont="1"/>
    <x:xf numFmtId="0" fontId="6" fillId="0" borderId="0" xfId="0" applyFont="1"/>
    <x:xf numFmtId="0" fontId="7" fillId="0" borderId="0" xfId="0" applyFont="1" applyAlignment="1">
      <x:alignment horizontal="left" vertical="top" wrapText="1"/>
    </x:xf>
    <x:xf numFmtId="0" fontId="8" fillId="0" borderId="0" xfId="0" applyFont="1"/>
    <x:xf numFmtId="0" fontId="9" fillId="2" borderId="0" xfId="0" applyFont="1" applyFill="1" applyAlignment="1">
      <x:alignment vertical="center"/>
    </x:xf>
    <x:xf numFmtId="0" fontId="10" fillId="0" borderId="0" xfId="0" applyFont="1"/>
    <x:xf numFmtId="0" fontId="11" fillId="3" borderId="1" xfId="0" applyFont="1" applyFill="1" applyBorder="1" applyAlignment="1">
      <x:alignment horizontal="center" vertical="center" wrapText="1"/>
    </x:xf>
    <x:xf numFmtId="0" fontId="5" fillId="0" borderId="1" xfId="0" applyFont="1" applyBorder="1" applyAlignment="1">
      <x:alignment horizontal="left" vertical="top" wrapText="1"/>
    </x:xf>
    <x:xf numFmtId="0" fontId="1" fillId="0" borderId="1" xfId="0" applyFont="1" applyBorder="1" applyAlignment="1">
      <x:alignment horizontal="left" vertical="top" wrapText="1"/>
    </x:xf>
    <x:xf numFmtId="0" fontId="13" fillId="5" borderId="1" xfId="0" applyNumberFormat="1" applyFont="1" applyFill="1" applyBorder="1" applyAlignment="1">
      <x:alignment horizontal="center" vertical="center" wrapText="1"/>
    </x:xf>
    <x:xf numFmtId="0" fontId="6" fillId="6" borderId="1" xfId="0" applyNumberFormat="1" applyFont="1" applyFill="1" applyBorder="1" applyAlignment="1">
      <x:alignment horizontal="left" vertical="top" wrapText="1"/>
    </x:xf>
    <x:xf numFmtId="0" fontId="13" fillId="5" borderId="2" xfId="0" applyNumberFormat="1" applyFont="1" applyFill="1" applyBorder="1" applyAlignment="1">
      <x:alignment horizontal="center" vertical="center" wrapText="1"/>
    </x:xf>
    <x:xf numFmtId="0" fontId="13" fillId="5" borderId="3" xfId="0" applyNumberFormat="1" applyFont="1" applyFill="1" applyBorder="1" applyAlignment="1">
      <x:alignment horizontal="center" vertical="center" wrapText="1"/>
    </x:xf>
    <x:xf numFmtId="0" fontId="13" fillId="5" borderId="4" xfId="0" applyNumberFormat="1" applyFont="1" applyFill="1" applyBorder="1" applyAlignment="1">
      <x:alignment horizontal="center" vertical="center" wrapText="1"/>
    </x:xf>
    <x:xf numFmtId="0" fontId="6" fillId="6" borderId="2" xfId="0" applyNumberFormat="1" applyFont="1" applyFill="1" applyBorder="1" applyAlignment="1">
      <x:alignment vertical="top" wrapText="1"/>
    </x:xf>
    <x:xf numFmtId="0" fontId="6" fillId="6" borderId="3"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7" fillId="0" borderId="0"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17" fillId="6" borderId="13" xfId="0" applyNumberFormat="1" applyFont="1" applyFill="1" applyBorder="1" applyAlignment="1">
      <x:alignment horizontal="left" vertical="center" wrapText="1"/>
    </x:xf>
    <x:xf numFmtId="0" fontId="17" fillId="6" borderId="1" xfId="0" applyNumberFormat="1" applyFont="1" applyFill="1" applyBorder="1" applyAlignment="1">
      <x:alignment horizontal="left" vertical="center" wrapText="1"/>
    </x:xf>
    <x:xf numFmtId="0" fontId="17" fillId="6" borderId="3" xfId="0" applyNumberFormat="1" applyFont="1" applyFill="1" applyBorder="1" applyAlignment="1">
      <x:alignment horizontal="left" vertical="center" wrapText="1"/>
    </x:xf>
    <x:xf numFmtId="0" fontId="17" fillId="8" borderId="13" xfId="0" applyNumberFormat="1" applyFont="1" applyFill="1" applyBorder="1" applyAlignment="1">
      <x:alignment horizontal="center" vertical="center" wrapText="1"/>
    </x:xf>
    <x:xf numFmtId="0" fontId="17" fillId="8" borderId="1" xfId="0" applyNumberFormat="1" applyFont="1" applyFill="1" applyBorder="1" applyAlignment="1">
      <x:alignment horizontal="center" vertical="center" wrapText="1"/>
    </x:xf>
    <x:xf numFmtId="0" fontId="17" fillId="8" borderId="3" xfId="0" applyNumberFormat="1" applyFont="1" applyFill="1" applyBorder="1" applyAlignment="1">
      <x:alignment horizontal="center" vertical="center" wrapText="1"/>
    </x:xf>
    <x:xf numFmtId="0" fontId="17" fillId="8" borderId="0" xfId="0" applyNumberFormat="1" applyFont="1" applyFill="1" applyAlignment="1">
      <x:alignment horizontal="center" vertical="center" wrapText="1"/>
    </x:xf>
    <x:xf numFmtId="0" fontId="17" fillId="8" borderId="11" xfId="0" applyNumberFormat="1" applyFont="1" applyFill="1" applyBorder="1" applyAlignment="1">
      <x:alignment horizontal="center" vertical="center" wrapText="1"/>
    </x:xf>
    <x:xf numFmtId="0" fontId="17" fillId="8" borderId="0" xfId="0" applyNumberFormat="1" applyFont="1" applyFill="1" applyBorder="1" applyAlignment="1">
      <x:alignment horizontal="left" vertical="center" wrapText="1"/>
    </x:xf>
    <x:xf numFmtId="0" fontId="17" fillId="8" borderId="3" xfId="0" applyNumberFormat="1" applyFont="1" applyFill="1" applyBorder="1" applyAlignment="1">
      <x:alignment horizontal="left" vertical="center" wrapText="1"/>
    </x:xf>
    <x:xf numFmtId="0" fontId="17" fillId="8" borderId="0" xfId="0" applyNumberFormat="1" applyFont="1" applyFill="1" applyAlignment="1">
      <x:alignment horizontal="left" vertical="center" wrapText="1"/>
    </x:xf>
    <x:xf numFmtId="0" fontId="17" fillId="7" borderId="12" xfId="0" applyNumberFormat="1" applyFont="1" applyFill="1" applyBorder="1" applyAlignment="1">
      <x:alignment horizontal="center" vertical="center" wrapText="1"/>
    </x:xf>
    <x:xf numFmtId="0" fontId="17" fillId="7" borderId="4" xfId="0" applyNumberFormat="1" applyFont="1" applyFill="1" applyBorder="1" applyAlignment="1">
      <x:alignment horizontal="center" vertical="center" wrapText="1"/>
    </x:xf>
    <x:xf numFmtId="0" fontId="17" fillId="7" borderId="3" xfId="0" applyNumberFormat="1" applyFont="1" applyFill="1" applyBorder="1" applyAlignment="1">
      <x:alignment horizontal="center" vertical="center" wrapText="1"/>
    </x:xf>
    <x:xf numFmtId="0" fontId="17" fillId="8" borderId="0" xfId="0" applyNumberFormat="1" applyFont="1" applyFill="1" applyBorder="1" applyAlignment="1">
      <x:alignment horizontal="center" vertical="center" wrapText="1"/>
    </x:xf>
    <x:xf numFmtId="0" fontId="17" fillId="7" borderId="0" xfId="0" applyNumberFormat="1" applyFont="1" applyFill="1" applyBorder="1" applyAlignment="1">
      <x:alignment horizontal="center" vertical="center" wrapText="1"/>
    </x:xf>
    <x:xf numFmtId="0" fontId="17" fillId="7" borderId="11" xfId="0" applyNumberFormat="1" applyFont="1" applyFill="1" applyBorder="1" applyAlignment="1">
      <x:alignment horizontal="center" vertical="center" wrapText="1"/>
    </x:xf>
    <x:xf numFmtId="0" fontId="17" fillId="6" borderId="0" xfId="0" applyNumberFormat="1" applyFont="1" applyFill="1" applyAlignment="1">
      <x:alignment horizontal="left" vertical="center" wrapText="1"/>
    </x:xf>
    <x:xf numFmtId="0" fontId="17" fillId="6" borderId="0" xfId="0" applyNumberFormat="1" applyFont="1" applyFill="1" applyBorder="1" applyAlignment="1">
      <x:alignment horizontal="left" vertical="center" wrapText="1"/>
    </x:xf>
    <x:xf numFmtId="0" fontId="1" fillId="4" borderId="1" xfId="0" applyNumberFormat="1" applyFont="1" applyFill="1" applyBorder="1" applyAlignment="1">
      <x:alignment horizontal="center" vertical="center" wrapText="1"/>
    </x:xf>
    <x:xf numFmtId="0" fontId="14" fillId="4" borderId="1" xfId="0" applyNumberFormat="1" applyFont="1" applyFill="1" applyBorder="1" applyAlignment="1">
      <x:alignment horizontal="left" vertical="center" wrapText="1"/>
    </x:xf>
    <x:xf numFmtId="0" fontId="14" fillId="4" borderId="1" xfId="0" applyNumberFormat="1" applyFont="1" applyFill="1" applyBorder="1" applyAlignment="1">
      <x:alignment horizontal="center" vertical="center" wrapText="1"/>
    </x:xf>
    <x:xf numFmtId="0" fontId="17" fillId="8" borderId="12" xfId="0" applyNumberFormat="1" applyFont="1" applyFill="1" applyBorder="1" applyAlignment="1">
      <x:alignment horizontal="center" vertical="center" wrapText="1"/>
    </x:xf>
    <x:xf numFmtId="0" fontId="17" fillId="8" borderId="13" xfId="0" applyNumberFormat="1" applyFont="1" applyFill="1" applyBorder="1" applyAlignment="1">
      <x:alignment horizontal="left" vertical="center" wrapText="1"/>
    </x:xf>
    <x:xf numFmtId="0" fontId="17" fillId="8" borderId="10" xfId="0" applyNumberFormat="1" applyFont="1" applyFill="1" applyBorder="1" applyAlignment="1">
      <x:alignment horizontal="center" vertical="center" wrapText="1"/>
    </x:xf>
    <x:xf numFmtId="0" fontId="17" fillId="8" borderId="4" xfId="0" applyNumberFormat="1" applyFont="1" applyFill="1" applyBorder="1" applyAlignment="1">
      <x:alignment horizontal="center" vertical="center" wrapText="1"/>
    </x:xf>
    <x:xf numFmtId="0" fontId="17" fillId="8" borderId="1" xfId="0" applyNumberFormat="1" applyFont="1" applyFill="1" applyBorder="1" applyAlignment="1">
      <x:alignment horizontal="left" vertical="center" wrapText="1"/>
    </x:xf>
    <x:xf numFmtId="0" fontId="17" fillId="8" borderId="2" xfId="0" applyNumberFormat="1" applyFont="1" applyFill="1" applyBorder="1" applyAlignment="1">
      <x:alignment horizontal="center" vertical="center" wrapText="1"/>
    </x:xf>
    <x:xf numFmtId="2" fontId="17" fillId="8" borderId="3" xfId="0" applyNumberFormat="1" applyFont="1" applyFill="1" applyBorder="1" applyAlignment="1">
      <x:alignment horizontal="center" vertical="center" wrapText="1"/>
    </x:xf>
    <x:xf numFmtId="0" fontId="14" fillId="4" borderId="5" xfId="0" applyNumberFormat="1" applyFont="1" applyFill="1" applyBorder="1" applyAlignment="1">
      <x:alignment horizontal="center" vertical="center" wrapText="1"/>
    </x:xf>
    <x:xf numFmtId="0" fontId="14" fillId="4" borderId="6" xfId="0" applyNumberFormat="1" applyFont="1" applyFill="1" applyBorder="1" applyAlignment="1">
      <x:alignment vertical="center" wrapText="1"/>
    </x:xf>
    <x:xf numFmtId="0" fontId="14" fillId="4" borderId="6" xfId="0" applyNumberFormat="1" applyFont="1" applyFill="1" applyBorder="1" applyAlignment="1">
      <x:alignment horizontal="center" vertical="center" wrapText="1"/>
    </x:xf>
    <x:xf numFmtId="0" fontId="14" fillId="4" borderId="7" xfId="0" applyNumberFormat="1" applyFont="1" applyFill="1" applyBorder="1" applyAlignment="1">
      <x:alignment horizontal="center" vertical="center" wrapText="1"/>
    </x:xf>
    <x:xf numFmtId="0" fontId="14" fillId="4" borderId="8" xfId="0" applyNumberFormat="1" applyFont="1" applyFill="1" applyBorder="1" applyAlignment="1">
      <x:alignment horizontal="center" vertical="center" wrapText="1"/>
    </x:xf>
    <x:xf numFmtId="0" fontId="14" fillId="4" borderId="0" xfId="0" applyNumberFormat="1" applyFont="1" applyFill="1" applyBorder="1" applyAlignment="1">
      <x:alignment vertical="center" wrapText="1"/>
    </x:xf>
    <x:xf numFmtId="0" fontId="14" fillId="4" borderId="0" xfId="0" applyNumberFormat="1" applyFont="1" applyFill="1" applyBorder="1" applyAlignment="1">
      <x:alignment horizontal="center" vertical="center" wrapText="1"/>
    </x:xf>
    <x:xf numFmtId="0" fontId="14" fillId="4" borderId="9" xfId="0" applyNumberFormat="1" applyFont="1" applyFill="1" applyBorder="1" applyAlignment="1">
      <x:alignment horizontal="center" vertical="center" wrapText="1"/>
    </x:xf>
    <x:xf numFmtId="0" fontId="17" fillId="8" borderId="11" xfId="0" applyNumberFormat="1" applyFont="1" applyFill="1" applyBorder="1" applyAlignment="1">
      <x:alignment horizontal="left" vertical="center" wrapText="1"/>
    </x:xf>
    <x:xf numFmtId="0" fontId="1" fillId="0" borderId="1" xfId="0" applyNumberFormat="1" applyFont="1" applyFill="1" applyBorder="1" applyAlignment="1">
      <x:alignment horizontal="center" vertical="center" wrapText="1"/>
    </x:xf>
    <x:xf numFmtId="0" fontId="14" fillId="6" borderId="1" xfId="0" applyNumberFormat="1" applyFont="1" applyFill="1" applyBorder="1" applyAlignment="1">
      <x:alignment horizontal="left" vertical="center" wrapText="1"/>
    </x:xf>
    <x:xf numFmtId="0" fontId="14" fillId="6" borderId="1" xfId="0" applyNumberFormat="1" applyFont="1" applyFill="1" applyBorder="1" applyAlignment="1">
      <x:alignment horizontal="center" vertical="center" wrapText="1"/>
    </x:xf>
    <x:xf numFmtId="0" fontId="14" fillId="0" borderId="7" xfId="0" applyNumberFormat="1" applyFont="1" applyFill="1" applyBorder="1" applyAlignment="1">
      <x:alignment horizontal="center" vertical="center" wrapText="1"/>
    </x:xf>
    <x:xf numFmtId="0" fontId="14" fillId="0" borderId="9" xfId="0" applyNumberFormat="1" applyFont="1" applyFill="1" applyBorder="1" applyAlignment="1">
      <x:alignment horizontal="center" vertical="center" wrapText="1"/>
    </x:xf>
    <x:xf numFmtId="0" fontId="4" fillId="0" borderId="0" xfId="0" applyFont="1"/>
    <x:xf numFmtId="0" fontId="3" fillId="0" borderId="0" xfId="0" applyFont="1"/>
    <x:xf numFmtId="0" fontId="16" fillId="0" borderId="0" xfId="0" applyNumberFormat="1" applyFont="1" applyFill="1" applyBorder="1" applyAlignment="1">
      <x:alignment horizontal="left" vertical="center"/>
    </x:xf>
    <x:xf numFmtId="0" fontId="12" fillId="0" borderId="0" xfId="0" applyNumberFormat="1" applyFont="1" applyFill="1" applyBorder="1" applyAlignment="1">
      <x:alignment horizontal="left" vertical="center"/>
    </x:xf>
    <x:xf numFmtId="0" fontId="2" fillId="0" borderId="0" xfId="0" applyNumberFormat="1" applyFont="1" applyFill="1" applyBorder="1" applyAlignment="1">
      <x:alignment horizontal="left" vertical="center"/>
    </x:xf>
    <x:xf numFmtId="0" fontId="15" fillId="6" borderId="2" xfId="0" applyNumberFormat="1" applyFont="1" applyFill="1" applyBorder="1" applyAlignment="1">
      <x:alignment horizontal="left" vertical="center" wrapText="1"/>
    </x:xf>
    <x:xf numFmtId="0" fontId="15" fillId="6" borderId="3" xfId="0" applyNumberFormat="1" applyFont="1" applyFill="1" applyBorder="1" applyAlignment="1">
      <x:alignment horizontal="left" vertical="center" wrapText="1"/>
    </x:xf>
    <x:xf numFmtId="0" fontId="15" fillId="6" borderId="4" xfId="0" applyNumberFormat="1" applyFont="1" applyFill="1" applyBorder="1" applyAlignment="1">
      <x:alignment horizontal="left" vertical="center" wrapText="1"/>
    </x:xf>
    <x:xf numFmtId="14" fontId="14" fillId="4" borderId="1" xfId="0" applyNumberFormat="1" applyFont="1" applyFill="1" applyBorder="1" applyAlignment="1">
      <x:alignment horizontal="center" vertical="center" wrapText="1"/>
    </x:xf>
  </x:cellXfs>
  <x:cellStyles count="1">
    <x:cellStyle name="Normal" xfId="0"/>
  </x:cellStyles>
  <x:dxfs count="20">
    <x:dxf>
      <x:font>
        <x:b/>
        <x:color rgb="FFC00000"/>
      </x:font>
      <x:fill>
        <x:patternFill>
          <x:bgColor rgb="FFFCE4D6"/>
        </x:patternFill>
      </x:fill>
    </x:dxf>
    <x:dxf>
      <x:font>
        <x:b/>
        <x:color rgb="FF008000"/>
      </x:font>
      <x:fill>
        <x:patternFill>
          <x:bgColor rgb="FFE2F0D9"/>
        </x:patternFill>
      </x:fill>
    </x:dxf>
    <x:dxf>
      <x:font>
        <x:b/>
        <x:color rgb="FF006100"/>
      </x:font>
      <x:fill>
        <x:patternFill>
          <x:bgColor rgb="FFEAF6EE"/>
        </x:patternFill>
      </x:fill>
    </x:dxf>
    <x:dxf>
      <x:font>
        <x:b/>
        <x:color rgb="FF9C0006"/>
      </x:font>
      <x:fill>
        <x:patternFill>
          <x:bgColor rgb="FFFDECEC"/>
        </x:patternFill>
      </x:fill>
    </x:dxf>
    <x:dxf>
      <x:font>
        <x:b/>
        <x:color rgb="FFC00000"/>
      </x:font>
      <x:fill>
        <x:patternFill>
          <x:bgColor rgb="FFFCE4D6"/>
        </x:patternFill>
      </x:fill>
    </x:dxf>
    <x:dxf>
      <x:font>
        <x:b/>
        <x:color rgb="FF008000"/>
      </x:font>
      <x:fill>
        <x:patternFill>
          <x:bgColor rgb="FFE2F0D9"/>
        </x:patternFill>
      </x:fill>
    </x:dxf>
    <x:dxf>
      <x:font>
        <x:b/>
        <x:color rgb="FF006100"/>
      </x:font>
      <x:fill>
        <x:patternFill>
          <x:bgColor rgb="FFEAF6EE"/>
        </x:patternFill>
      </x:fill>
    </x:dxf>
    <x:dxf>
      <x:font>
        <x:b/>
        <x:color rgb="FF9C0006"/>
      </x:font>
      <x:fill>
        <x:patternFill>
          <x:bgColor rgb="FFFDECEC"/>
        </x:patternFill>
      </x:fill>
    </x:dxf>
    <x:dxf>
      <x:font>
        <x:b/>
        <x:color rgb="FFC00000"/>
      </x:font>
      <x:fill>
        <x:patternFill>
          <x:bgColor rgb="FFFCE4D6"/>
        </x:patternFill>
      </x:fill>
    </x:dxf>
    <x:dxf>
      <x:font>
        <x:b/>
        <x:color rgb="FF008000"/>
      </x:font>
      <x:fill>
        <x:patternFill>
          <x:bgColor rgb="FFE2F0D9"/>
        </x:patternFill>
      </x:fill>
    </x:dxf>
    <x:dxf>
      <x:font>
        <x:b/>
        <x:color rgb="FF006100"/>
      </x:font>
      <x:fill>
        <x:patternFill>
          <x:bgColor rgb="FFEAF6EE"/>
        </x:patternFill>
      </x:fill>
    </x:dxf>
    <x:dxf>
      <x:font>
        <x:b/>
        <x:color rgb="FF9C0006"/>
      </x:font>
      <x:fill>
        <x:patternFill>
          <x:bgColor rgb="FFFDECEC"/>
        </x:patternFill>
      </x:fill>
    </x:dxf>
    <x:dxf>
      <x:font>
        <x:b/>
        <x:color rgb="FF9C6500"/>
      </x:font>
      <x:fill>
        <x:patternFill>
          <x:bgColor rgb="FFFFF2CC"/>
        </x:patternFill>
      </x:fill>
    </x:dxf>
    <x:dxf>
      <x:font>
        <x:b/>
        <x:color rgb="FF008000"/>
      </x:font>
      <x:fill>
        <x:patternFill>
          <x:bgColor rgb="FFE2F0D9"/>
        </x:patternFill>
      </x:fill>
    </x:dxf>
    <x:dxf>
      <x:font>
        <x:b/>
        <x:color rgb="FFC00000"/>
      </x:font>
      <x:fill>
        <x:patternFill>
          <x:bgColor rgb="FFFCE4D6"/>
        </x:patternFill>
      </x:fill>
    </x:dxf>
    <x:dxf>
      <x:font>
        <x:b/>
        <x:color rgb="FF008000"/>
      </x:font>
      <x:fill>
        <x:patternFill>
          <x:bgColor rgb="FFE2F0D9"/>
        </x:patternFill>
      </x:fill>
    </x:dxf>
    <x:dxf>
      <x:font>
        <x:b/>
        <x:color rgb="FF7F6000"/>
      </x:font>
      <x:fill>
        <x:patternFill>
          <x:bgColor rgb="FFFFF2CC"/>
        </x:patternFill>
      </x:fill>
    </x:dxf>
    <x:dxf>
      <x:font>
        <x:b/>
        <x:color rgb="FF006100"/>
      </x:font>
      <x:fill>
        <x:patternFill>
          <x:bgColor rgb="FFEAF6EE"/>
        </x:patternFill>
      </x:fill>
    </x:dxf>
    <x:dxf>
      <x:font>
        <x:b/>
        <x:color rgb="FF006100"/>
      </x:font>
      <x:fill>
        <x:patternFill>
          <x:bgColor rgb="FFEAF6EE"/>
        </x:patternFill>
      </x:fill>
    </x:dxf>
    <x:dxf>
      <x:font>
        <x:b/>
        <x:color rgb="FF9C0006"/>
      </x:font>
      <x:fill>
        <x:patternFill>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ee79aa53ad4aa0" /><Relationship Type="http://schemas.openxmlformats.org/officeDocument/2006/relationships/theme" Target="/xl/theme/theme1.xml" Id="Ra2e715e94aee402d" /><Relationship Type="http://schemas.openxmlformats.org/officeDocument/2006/relationships/sharedStrings" Target="/xl/sharedStrings.xml" Id="R1d52100797594375" /><Relationship Type="http://schemas.openxmlformats.org/officeDocument/2006/relationships/worksheet" Target="/xl/worksheets/sheet1.xml" Id="R7c09d2bab6a74c86" /><Relationship Type="http://schemas.openxmlformats.org/officeDocument/2006/relationships/worksheet" Target="/xl/worksheets/sheet2.xml" Id="Rd8ec3357e4fb443c" /><Relationship Type="http://schemas.openxmlformats.org/officeDocument/2006/relationships/worksheet" Target="/xl/worksheets/sheet3.xml" Id="Rd194de62b1684d50" /><Relationship Type="http://schemas.openxmlformats.org/officeDocument/2006/relationships/worksheet" Target="/xl/worksheets/sheet4.xml" Id="R88504cd9556b4a9e" /><Relationship Type="http://schemas.openxmlformats.org/officeDocument/2006/relationships/worksheet" Target="/xl/worksheets/sheet5.xml" Id="Rcf51fb5c1a1a46fb" /><Relationship Type="http://schemas.openxmlformats.org/officeDocument/2006/relationships/worksheet" Target="/xl/worksheets/sheet6.xml" Id="Rdb6ef49bc6a04d5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9.140625" defaultRowHeight="15"/>
  <x:cols>
    <x:col min="1" max="1" width="3" style="2" customWidth="1"/>
    <x:col min="2" max="2" width="100" style="2" customWidth="1"/>
    <x:col min="3" max="16384" width="9.140625" style="2" customWidth="0"/>
  </x:cols>
  <x:sheetData>
    <x:row r="2">
      <x:c r="B2" s="6" t="s">
        <x:v>0</x:v>
      </x:c>
    </x:row>
    <x:row r="3">
      <x:c r="B3" s="3" t="s">
        <x:v>1</x:v>
      </x:c>
    </x:row>
    <x:row r="5" ht="18" customHeight="1">
      <x:c r="B5" s="7" t="s">
        <x:v>2</x:v>
      </x:c>
    </x:row>
    <x:row r="6" ht="42" customHeight="1">
      <x:c r="B6" s="5" t="s">
        <x:v>3</x:v>
      </x:c>
    </x:row>
    <x:row r="8" ht="18" customHeight="1">
      <x:c r="B8" s="7" t="s">
        <x:v>4</x:v>
      </x:c>
    </x:row>
    <x:row r="9" ht="42" customHeight="1">
      <x:c r="B9" s="5" t="s">
        <x:v>5</x:v>
      </x:c>
    </x:row>
    <x:row r="11" ht="18" customHeight="1">
      <x:c r="B11" s="7" t="s">
        <x:v>6</x:v>
      </x:c>
    </x:row>
    <x:row r="12" ht="92.0999984741211" customHeight="1">
      <x:c r="B12" s="20" t="s">
        <x:v>7</x:v>
      </x:c>
    </x:row>
    <x:row r="14" ht="18" customHeight="1">
      <x:c r="B14" s="7" t="s">
        <x:v>8</x:v>
      </x:c>
    </x:row>
    <x:row r="15" ht="27.950000762939453" customHeight="1">
      <x:c r="B15" s="5" t="s">
        <x:v>9</x:v>
      </x:c>
    </x:row>
    <x:row r="17" ht="18" customHeight="1">
      <x:c r="B17" s="7" t="s">
        <x:v>10</x:v>
      </x:c>
    </x:row>
    <x:row r="18" ht="48" customHeight="1">
      <x:c r="B18" s="20" t="s">
        <x:v>11</x:v>
      </x:c>
    </x:row>
    <x:row r="21">
      <x:c r="B21" s="8" t="s">
        <x:v>12</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9.140625" defaultRowHeight="15"/>
  <x:cols>
    <x:col min="1" max="1" width="3" style="2" customWidth="1"/>
    <x:col min="2" max="2" width="26" style="2" customWidth="1"/>
    <x:col min="3" max="4" width="45" style="2" customWidth="1"/>
    <x:col min="5" max="16384" width="9.140625" style="2" customWidth="0"/>
  </x:cols>
  <x:sheetData>
    <x:row r="2" ht="20.25">
      <x:c r="B2" s="1" t="s">
        <x:v>13</x:v>
      </x:c>
    </x:row>
    <x:row r="3">
      <x:c r="B3" s="65" t="s">
        <x:v>14</x:v>
      </x:c>
      <x:c r="C3" s="66"/>
      <x:c r="D3" s="66"/>
    </x:row>
    <x:row r="5" ht="21.950000762939453" customHeight="1">
      <x:c r="B5" s="9" t="s">
        <x:v>15</x:v>
      </x:c>
      <x:c r="C5" s="9" t="s">
        <x:v>16</x:v>
      </x:c>
      <x:c r="D5" s="9" t="s">
        <x:v>17</x:v>
      </x:c>
    </x:row>
    <x:row r="6" ht="42" customHeight="1">
      <x:c r="B6" s="10" t="s">
        <x:v>18</x:v>
      </x:c>
      <x:c r="C6" s="11" t="s">
        <x:v>19</x:v>
      </x:c>
      <x:c r="D6" s="11" t="s">
        <x:v>20</x:v>
      </x:c>
    </x:row>
    <x:row r="7" ht="56.099998474121094" customHeight="1">
      <x:c r="B7" s="10" t="s">
        <x:v>21</x:v>
      </x:c>
      <x:c r="C7" s="11" t="s">
        <x:v>22</x:v>
      </x:c>
      <x:c r="D7" s="11" t="s">
        <x:v>23</x:v>
      </x:c>
    </x:row>
    <x:row r="8" ht="56.099998474121094" customHeight="1">
      <x:c r="B8" s="10" t="s">
        <x:v>24</x:v>
      </x:c>
      <x:c r="C8" s="11" t="s">
        <x:v>25</x:v>
      </x:c>
      <x:c r="D8" s="11" t="s">
        <x:v>26</x:v>
      </x:c>
    </x:row>
    <x:row r="9" ht="56.099998474121094" customHeight="1">
      <x:c r="B9" s="10" t="s">
        <x:v>27</x:v>
      </x:c>
      <x:c r="C9" s="11" t="s">
        <x:v>28</x:v>
      </x:c>
      <x:c r="D9" s="11" t="s">
        <x:v>29</x:v>
      </x:c>
    </x:row>
    <x:row r="10" ht="42" customHeight="1">
      <x:c r="B10" s="10" t="s">
        <x:v>30</x:v>
      </x:c>
      <x:c r="C10" s="11" t="s">
        <x:v>31</x:v>
      </x:c>
      <x:c r="D10" s="11" t="s">
        <x:v>32</x:v>
      </x:c>
    </x:row>
    <x:row r="12">
      <x:c r="B12" s="4" t="s">
        <x:v>33</x:v>
      </x:c>
    </x:row>
  </x:sheetData>
  <x:mergeCells>
    <x:mergeCell ref="B3:D3"/>
  </x:mergeCells>
  <x:pageMargins left="0.7" right="0.7" top="0.75" bottom="0.75" header="0.3" footer="0.3"/>
</x:worksheet>
</file>

<file path=xl/worksheets/sheet3.xml><?xml version="1.0" encoding="utf-8"?>
<x:worksheet xmlns:x="http://schemas.openxmlformats.org/spreadsheetml/2006/main">
  <x:sheetPr>
    <x:tabColor rgb="FFC00000"/>
  </x:sheetPr>
  <x:sheetViews>
    <x:sheetView showGridLines="0" workbookViewId="0"/>
  </x:sheetViews>
  <x:sheetFormatPr baseColWidth="10" defaultColWidth="9.140625" defaultRowHeight="15"/>
  <x:cols>
    <x:col min="1" max="1" width="14" customWidth="1"/>
    <x:col min="2" max="2" width="12" customWidth="1"/>
    <x:col min="3" max="4" width="18" customWidth="1"/>
    <x:col min="5" max="5" width="27" customWidth="1"/>
    <x:col min="6" max="6" width="19" customWidth="1"/>
    <x:col min="7" max="10" width="18" customWidth="1"/>
    <x:col min="11" max="11" width="10" customWidth="1"/>
  </x:cols>
  <x:sheetData>
    <x:row r="1" ht="26.100000381469727" customHeight="1">
      <x:c r="A1" s="67" t="s">
        <x:v>34</x:v>
      </x:c>
      <x:c r="B1" s="67"/>
      <x:c r="C1" s="67"/>
      <x:c r="D1" s="67"/>
      <x:c r="E1" s="67"/>
      <x:c r="F1" s="67"/>
      <x:c r="G1" s="67"/>
      <x:c r="H1" s="67"/>
      <x:c r="I1" s="67"/>
      <x:c r="J1" s="67"/>
      <x:c r="K1" s="67"/>
    </x:row>
    <x:row r="2" ht="30" customHeight="1">
      <x:c r="A2" s="68" t="s">
        <x:v>35</x:v>
      </x:c>
      <x:c r="B2" s="68"/>
      <x:c r="C2" s="68"/>
      <x:c r="D2" s="68"/>
      <x:c r="E2" s="68"/>
      <x:c r="F2" s="68"/>
      <x:c r="G2" s="68"/>
      <x:c r="H2" s="68"/>
      <x:c r="I2" s="68"/>
      <x:c r="J2" s="68"/>
      <x:c r="K2" s="68"/>
    </x:row>
    <x:row r="4" ht="38.099998474121094" customHeight="1">
      <x:c r="A4" s="12" t="s">
        <x:v>36</x:v>
      </x:c>
      <x:c r="B4" s="12" t="s">
        <x:v>37</x:v>
      </x:c>
      <x:c r="C4" s="12" t="s">
        <x:v>38</x:v>
      </x:c>
      <x:c r="D4" s="12" t="s">
        <x:v>39</x:v>
      </x:c>
      <x:c r="E4" s="12" t="s">
        <x:v>40</x:v>
      </x:c>
      <x:c r="F4" s="12" t="s">
        <x:v>41</x:v>
      </x:c>
      <x:c r="G4" s="15" t="s">
        <x:v>42</x:v>
      </x:c>
      <x:c r="H4" s="15" t="s">
        <x:v>43</x:v>
      </x:c>
      <x:c r="I4" s="15" t="s">
        <x:v>44</x:v>
      </x:c>
      <x:c r="J4" s="15" t="s">
        <x:v>45</x:v>
      </x:c>
      <x:c r="K4" s="16" t="s">
        <x:v>46</x:v>
      </x:c>
    </x:row>
    <x:row r="5" ht="27.950000762939453" customHeight="1">
      <x:c r="A5" s="60" t="s">
        <x:v>47</x:v>
      </x:c>
      <x:c r="B5" s="43" t="s">
        <x:v>48</x:v>
      </x:c>
      <x:c r="C5" s="43" t="s">
        <x:v>49</x:v>
      </x:c>
      <x:c r="D5" s="61" t="s">
        <x:v>50</x:v>
      </x:c>
      <x:c r="E5" s="61" t="s">
        <x:v>51</x:v>
      </x:c>
      <x:c r="F5" s="62" t="str">
        <x:f t="shared" ref="F5:F36" si="0">IF(D5=J5,"Sí","No")</x:f>
        <x:v>Sí</x:v>
      </x:c>
      <x:c r="G5" s="53" t="str">
        <x:f>'Eval. Angélica Tenecela'!C6</x:f>
        <x:v>No ambiguo</x:v>
      </x:c>
      <x:c r="H5" s="53" t="str">
        <x:f>'Eval. Geovanny Ochoa'!C6</x:f>
        <x:v>No ambiguo</x:v>
      </x:c>
      <x:c r="I5" s="53" t="str">
        <x:f>'Eval. Valeska Chica'!C6</x:f>
        <x:v>No ambiguo</x:v>
      </x:c>
      <x:c r="J5" s="53" t="str">
        <x:f t="shared" ref="J5:J36" si="1">IF(COUNTIF(G5:I5,"Ambiguo")&gt;=2,"Ambiguo","No ambiguo")</x:f>
        <x:v>No ambiguo</x:v>
      </x:c>
      <x:c r="K5" s="63" t="str">
        <x:f t="shared" ref="K5:K36" si="2">IF(OR(COUNTIF(G5:I5,"Ambiguo")=3,COUNTIF(G5:I5,"No ambiguo")=3),"3/3","2/3")</x:f>
        <x:v>3/3</x:v>
      </x:c>
    </x:row>
    <x:row r="6" ht="27.950000762939453" customHeight="1">
      <x:c r="A6" s="60" t="s">
        <x:v>52</x:v>
      </x:c>
      <x:c r="B6" s="43" t="s">
        <x:v>53</x:v>
      </x:c>
      <x:c r="C6" s="43" t="s">
        <x:v>54</x:v>
      </x:c>
      <x:c r="D6" s="61" t="s">
        <x:v>55</x:v>
      </x:c>
      <x:c r="E6" s="61" t="s">
        <x:v>56</x:v>
      </x:c>
      <x:c r="F6" s="62" t="str">
        <x:f t="shared" si="0"/>
        <x:v>No</x:v>
      </x:c>
      <x:c r="G6" s="57" t="str">
        <x:f>'Eval. Angélica Tenecela'!C7</x:f>
        <x:v>No ambiguo</x:v>
      </x:c>
      <x:c r="H6" s="57" t="str">
        <x:f>'Eval. Geovanny Ochoa'!C7</x:f>
        <x:v>No ambiguo</x:v>
      </x:c>
      <x:c r="I6" s="57" t="str">
        <x:f>'Eval. Valeska Chica'!C7</x:f>
        <x:v>Ambiguo</x:v>
      </x:c>
      <x:c r="J6" s="57" t="str">
        <x:f t="shared" si="1"/>
        <x:v>No ambiguo</x:v>
      </x:c>
      <x:c r="K6" s="64" t="str">
        <x:f t="shared" si="2"/>
        <x:v>2/3</x:v>
      </x:c>
    </x:row>
    <x:row r="7" ht="27.950000762939453" customHeight="1">
      <x:c r="A7" s="60" t="s">
        <x:v>57</x:v>
      </x:c>
      <x:c r="B7" s="43" t="s">
        <x:v>58</x:v>
      </x:c>
      <x:c r="C7" s="43" t="s">
        <x:v>49</x:v>
      </x:c>
      <x:c r="D7" s="61" t="s">
        <x:v>55</x:v>
      </x:c>
      <x:c r="E7" s="61" t="s">
        <x:v>59</x:v>
      </x:c>
      <x:c r="F7" s="62" t="str">
        <x:f t="shared" si="0"/>
        <x:v>Sí</x:v>
      </x:c>
      <x:c r="G7" s="57" t="str">
        <x:f>'Eval. Angélica Tenecela'!C8</x:f>
        <x:v>Ambiguo</x:v>
      </x:c>
      <x:c r="H7" s="57" t="str">
        <x:f>'Eval. Geovanny Ochoa'!C8</x:f>
        <x:v>Ambiguo</x:v>
      </x:c>
      <x:c r="I7" s="57" t="str">
        <x:f>'Eval. Valeska Chica'!C8</x:f>
        <x:v>Ambiguo</x:v>
      </x:c>
      <x:c r="J7" s="57" t="str">
        <x:f t="shared" si="1"/>
        <x:v>Ambiguo</x:v>
      </x:c>
      <x:c r="K7" s="64" t="str">
        <x:f t="shared" si="2"/>
        <x:v>3/3</x:v>
      </x:c>
    </x:row>
    <x:row r="8" ht="27.950000762939453" customHeight="1">
      <x:c r="A8" s="60" t="s">
        <x:v>60</x:v>
      </x:c>
      <x:c r="B8" s="43" t="s">
        <x:v>61</x:v>
      </x:c>
      <x:c r="C8" s="43" t="s">
        <x:v>54</x:v>
      </x:c>
      <x:c r="D8" s="61" t="s">
        <x:v>50</x:v>
      </x:c>
      <x:c r="E8" s="61" t="s">
        <x:v>51</x:v>
      </x:c>
      <x:c r="F8" s="62" t="str">
        <x:f t="shared" si="0"/>
        <x:v>Sí</x:v>
      </x:c>
      <x:c r="G8" s="57" t="str">
        <x:f>'Eval. Angélica Tenecela'!C9</x:f>
        <x:v>No ambiguo</x:v>
      </x:c>
      <x:c r="H8" s="57" t="str">
        <x:f>'Eval. Geovanny Ochoa'!C9</x:f>
        <x:v>No ambiguo</x:v>
      </x:c>
      <x:c r="I8" s="57" t="str">
        <x:f>'Eval. Valeska Chica'!C9</x:f>
        <x:v>No ambiguo</x:v>
      </x:c>
      <x:c r="J8" s="57" t="str">
        <x:f t="shared" si="1"/>
        <x:v>No ambiguo</x:v>
      </x:c>
      <x:c r="K8" s="64" t="str">
        <x:f t="shared" si="2"/>
        <x:v>3/3</x:v>
      </x:c>
    </x:row>
    <x:row r="9" ht="27.950000762939453" customHeight="1">
      <x:c r="A9" s="60" t="s">
        <x:v>62</x:v>
      </x:c>
      <x:c r="B9" s="43" t="s">
        <x:v>63</x:v>
      </x:c>
      <x:c r="C9" s="43" t="s">
        <x:v>64</x:v>
      </x:c>
      <x:c r="D9" s="61" t="s">
        <x:v>55</x:v>
      </x:c>
      <x:c r="E9" s="61" t="s">
        <x:v>65</x:v>
      </x:c>
      <x:c r="F9" s="62" t="str">
        <x:f t="shared" si="0"/>
        <x:v>No</x:v>
      </x:c>
      <x:c r="G9" s="57" t="str">
        <x:f>'Eval. Angélica Tenecela'!C10</x:f>
        <x:v>No ambiguo</x:v>
      </x:c>
      <x:c r="H9" s="57" t="str">
        <x:f>'Eval. Geovanny Ochoa'!C10</x:f>
        <x:v>No ambiguo</x:v>
      </x:c>
      <x:c r="I9" s="57" t="str">
        <x:f>'Eval. Valeska Chica'!C10</x:f>
        <x:v>No ambiguo</x:v>
      </x:c>
      <x:c r="J9" s="57" t="str">
        <x:f t="shared" si="1"/>
        <x:v>No ambiguo</x:v>
      </x:c>
      <x:c r="K9" s="64" t="str">
        <x:f t="shared" si="2"/>
        <x:v>3/3</x:v>
      </x:c>
    </x:row>
    <x:row r="10" ht="27.950000762939453" customHeight="1">
      <x:c r="A10" s="60" t="s">
        <x:v>66</x:v>
      </x:c>
      <x:c r="B10" s="43" t="s">
        <x:v>67</x:v>
      </x:c>
      <x:c r="C10" s="43" t="s">
        <x:v>54</x:v>
      </x:c>
      <x:c r="D10" s="61" t="s">
        <x:v>50</x:v>
      </x:c>
      <x:c r="E10" s="61" t="s">
        <x:v>51</x:v>
      </x:c>
      <x:c r="F10" s="62" t="str">
        <x:f t="shared" si="0"/>
        <x:v>Sí</x:v>
      </x:c>
      <x:c r="G10" s="57" t="str">
        <x:f>'Eval. Angélica Tenecela'!C11</x:f>
        <x:v>No ambiguo</x:v>
      </x:c>
      <x:c r="H10" s="57" t="str">
        <x:f>'Eval. Geovanny Ochoa'!C11</x:f>
        <x:v>No ambiguo</x:v>
      </x:c>
      <x:c r="I10" s="57" t="str">
        <x:f>'Eval. Valeska Chica'!C11</x:f>
        <x:v>No ambiguo</x:v>
      </x:c>
      <x:c r="J10" s="57" t="str">
        <x:f t="shared" si="1"/>
        <x:v>No ambiguo</x:v>
      </x:c>
      <x:c r="K10" s="64" t="str">
        <x:f t="shared" si="2"/>
        <x:v>3/3</x:v>
      </x:c>
    </x:row>
    <x:row r="11" ht="27.950000762939453" customHeight="1">
      <x:c r="A11" s="60" t="s">
        <x:v>68</x:v>
      </x:c>
      <x:c r="B11" s="43" t="s">
        <x:v>69</x:v>
      </x:c>
      <x:c r="C11" s="43" t="s">
        <x:v>49</x:v>
      </x:c>
      <x:c r="D11" s="61" t="s">
        <x:v>55</x:v>
      </x:c>
      <x:c r="E11" s="61" t="s">
        <x:v>59</x:v>
      </x:c>
      <x:c r="F11" s="62" t="str">
        <x:f t="shared" si="0"/>
        <x:v>Sí</x:v>
      </x:c>
      <x:c r="G11" s="57" t="str">
        <x:f>'Eval. Angélica Tenecela'!C12</x:f>
        <x:v>Ambiguo</x:v>
      </x:c>
      <x:c r="H11" s="57" t="str">
        <x:f>'Eval. Geovanny Ochoa'!C12</x:f>
        <x:v>Ambiguo</x:v>
      </x:c>
      <x:c r="I11" s="57" t="str">
        <x:f>'Eval. Valeska Chica'!C12</x:f>
        <x:v>Ambiguo</x:v>
      </x:c>
      <x:c r="J11" s="57" t="str">
        <x:f t="shared" si="1"/>
        <x:v>Ambiguo</x:v>
      </x:c>
      <x:c r="K11" s="64" t="str">
        <x:f t="shared" si="2"/>
        <x:v>3/3</x:v>
      </x:c>
    </x:row>
    <x:row r="12" ht="27.950000762939453" customHeight="1">
      <x:c r="A12" s="60" t="s">
        <x:v>70</x:v>
      </x:c>
      <x:c r="B12" s="43" t="s">
        <x:v>71</x:v>
      </x:c>
      <x:c r="C12" s="43" t="s">
        <x:v>49</x:v>
      </x:c>
      <x:c r="D12" s="61" t="s">
        <x:v>55</x:v>
      </x:c>
      <x:c r="E12" s="61" t="s">
        <x:v>59</x:v>
      </x:c>
      <x:c r="F12" s="62" t="str">
        <x:f t="shared" si="0"/>
        <x:v>No</x:v>
      </x:c>
      <x:c r="G12" s="57" t="str">
        <x:f>'Eval. Angélica Tenecela'!C13</x:f>
        <x:v>No ambiguo</x:v>
      </x:c>
      <x:c r="H12" s="57" t="str">
        <x:f>'Eval. Geovanny Ochoa'!C13</x:f>
        <x:v>No ambiguo</x:v>
      </x:c>
      <x:c r="I12" s="57" t="str">
        <x:f>'Eval. Valeska Chica'!C13</x:f>
        <x:v>No ambiguo</x:v>
      </x:c>
      <x:c r="J12" s="57" t="str">
        <x:f t="shared" si="1"/>
        <x:v>No ambiguo</x:v>
      </x:c>
      <x:c r="K12" s="64" t="str">
        <x:f t="shared" si="2"/>
        <x:v>3/3</x:v>
      </x:c>
    </x:row>
    <x:row r="13" ht="27.950000762939453" customHeight="1">
      <x:c r="A13" s="60" t="s">
        <x:v>72</x:v>
      </x:c>
      <x:c r="B13" s="43" t="s">
        <x:v>73</x:v>
      </x:c>
      <x:c r="C13" s="43" t="s">
        <x:v>54</x:v>
      </x:c>
      <x:c r="D13" s="61" t="s">
        <x:v>50</x:v>
      </x:c>
      <x:c r="E13" s="61" t="s">
        <x:v>51</x:v>
      </x:c>
      <x:c r="F13" s="62" t="str">
        <x:f t="shared" si="0"/>
        <x:v>Sí</x:v>
      </x:c>
      <x:c r="G13" s="57" t="str">
        <x:f>'Eval. Angélica Tenecela'!C14</x:f>
        <x:v>No ambiguo</x:v>
      </x:c>
      <x:c r="H13" s="57" t="str">
        <x:f>'Eval. Geovanny Ochoa'!C14</x:f>
        <x:v>No ambiguo</x:v>
      </x:c>
      <x:c r="I13" s="57" t="str">
        <x:f>'Eval. Valeska Chica'!C14</x:f>
        <x:v>No ambiguo</x:v>
      </x:c>
      <x:c r="J13" s="57" t="str">
        <x:f t="shared" si="1"/>
        <x:v>No ambiguo</x:v>
      </x:c>
      <x:c r="K13" s="64" t="str">
        <x:f t="shared" si="2"/>
        <x:v>3/3</x:v>
      </x:c>
    </x:row>
    <x:row r="14" ht="27.950000762939453" customHeight="1">
      <x:c r="A14" s="60" t="s">
        <x:v>74</x:v>
      </x:c>
      <x:c r="B14" s="43" t="s">
        <x:v>75</x:v>
      </x:c>
      <x:c r="C14" s="43" t="s">
        <x:v>54</x:v>
      </x:c>
      <x:c r="D14" s="61" t="s">
        <x:v>50</x:v>
      </x:c>
      <x:c r="E14" s="61" t="s">
        <x:v>51</x:v>
      </x:c>
      <x:c r="F14" s="62" t="str">
        <x:f t="shared" si="0"/>
        <x:v>Sí</x:v>
      </x:c>
      <x:c r="G14" s="57" t="str">
        <x:f>'Eval. Angélica Tenecela'!C15</x:f>
        <x:v>No ambiguo</x:v>
      </x:c>
      <x:c r="H14" s="57" t="str">
        <x:f>'Eval. Geovanny Ochoa'!C15</x:f>
        <x:v>No ambiguo</x:v>
      </x:c>
      <x:c r="I14" s="57" t="str">
        <x:f>'Eval. Valeska Chica'!C15</x:f>
        <x:v>No ambiguo</x:v>
      </x:c>
      <x:c r="J14" s="57" t="str">
        <x:f t="shared" si="1"/>
        <x:v>No ambiguo</x:v>
      </x:c>
      <x:c r="K14" s="64" t="str">
        <x:f t="shared" si="2"/>
        <x:v>3/3</x:v>
      </x:c>
    </x:row>
    <x:row r="15" ht="27.950000762939453" customHeight="1">
      <x:c r="A15" s="60" t="s">
        <x:v>76</x:v>
      </x:c>
      <x:c r="B15" s="43" t="s">
        <x:v>77</x:v>
      </x:c>
      <x:c r="C15" s="43" t="s">
        <x:v>78</x:v>
      </x:c>
      <x:c r="D15" s="61" t="s">
        <x:v>55</x:v>
      </x:c>
      <x:c r="E15" s="61" t="s">
        <x:v>79</x:v>
      </x:c>
      <x:c r="F15" s="62" t="str">
        <x:f t="shared" si="0"/>
        <x:v>Sí</x:v>
      </x:c>
      <x:c r="G15" s="57" t="str">
        <x:f>'Eval. Angélica Tenecela'!C16</x:f>
        <x:v>Ambiguo</x:v>
      </x:c>
      <x:c r="H15" s="57" t="str">
        <x:f>'Eval. Geovanny Ochoa'!C16</x:f>
        <x:v>No ambiguo</x:v>
      </x:c>
      <x:c r="I15" s="57" t="str">
        <x:f>'Eval. Valeska Chica'!C16</x:f>
        <x:v>Ambiguo</x:v>
      </x:c>
      <x:c r="J15" s="57" t="str">
        <x:f t="shared" si="1"/>
        <x:v>Ambiguo</x:v>
      </x:c>
      <x:c r="K15" s="64" t="str">
        <x:f t="shared" si="2"/>
        <x:v>2/3</x:v>
      </x:c>
    </x:row>
    <x:row r="16" ht="27.950000762939453" customHeight="1">
      <x:c r="A16" s="60" t="s">
        <x:v>80</x:v>
      </x:c>
      <x:c r="B16" s="43" t="s">
        <x:v>81</x:v>
      </x:c>
      <x:c r="C16" s="43" t="s">
        <x:v>54</x:v>
      </x:c>
      <x:c r="D16" s="61" t="s">
        <x:v>50</x:v>
      </x:c>
      <x:c r="E16" s="61" t="s">
        <x:v>51</x:v>
      </x:c>
      <x:c r="F16" s="62" t="str">
        <x:f t="shared" si="0"/>
        <x:v>Sí</x:v>
      </x:c>
      <x:c r="G16" s="57" t="str">
        <x:f>'Eval. Angélica Tenecela'!C17</x:f>
        <x:v>No ambiguo</x:v>
      </x:c>
      <x:c r="H16" s="57" t="str">
        <x:f>'Eval. Geovanny Ochoa'!C17</x:f>
        <x:v>No ambiguo</x:v>
      </x:c>
      <x:c r="I16" s="57" t="str">
        <x:f>'Eval. Valeska Chica'!C17</x:f>
        <x:v>No ambiguo</x:v>
      </x:c>
      <x:c r="J16" s="57" t="str">
        <x:f t="shared" si="1"/>
        <x:v>No ambiguo</x:v>
      </x:c>
      <x:c r="K16" s="64" t="str">
        <x:f t="shared" si="2"/>
        <x:v>3/3</x:v>
      </x:c>
    </x:row>
    <x:row r="17" ht="27.950000762939453" customHeight="1">
      <x:c r="A17" s="60" t="s">
        <x:v>82</x:v>
      </x:c>
      <x:c r="B17" s="43" t="s">
        <x:v>83</x:v>
      </x:c>
      <x:c r="C17" s="43" t="s">
        <x:v>54</x:v>
      </x:c>
      <x:c r="D17" s="61" t="s">
        <x:v>50</x:v>
      </x:c>
      <x:c r="E17" s="61" t="s">
        <x:v>51</x:v>
      </x:c>
      <x:c r="F17" s="62" t="str">
        <x:f t="shared" si="0"/>
        <x:v>Sí</x:v>
      </x:c>
      <x:c r="G17" s="57" t="str">
        <x:f>'Eval. Angélica Tenecela'!C18</x:f>
        <x:v>No ambiguo</x:v>
      </x:c>
      <x:c r="H17" s="57" t="str">
        <x:f>'Eval. Geovanny Ochoa'!C18</x:f>
        <x:v>No ambiguo</x:v>
      </x:c>
      <x:c r="I17" s="57" t="str">
        <x:f>'Eval. Valeska Chica'!C18</x:f>
        <x:v>No ambiguo</x:v>
      </x:c>
      <x:c r="J17" s="57" t="str">
        <x:f t="shared" si="1"/>
        <x:v>No ambiguo</x:v>
      </x:c>
      <x:c r="K17" s="64" t="str">
        <x:f t="shared" si="2"/>
        <x:v>3/3</x:v>
      </x:c>
    </x:row>
    <x:row r="18" ht="27.950000762939453" customHeight="1">
      <x:c r="A18" s="60" t="s">
        <x:v>84</x:v>
      </x:c>
      <x:c r="B18" s="43" t="s">
        <x:v>85</x:v>
      </x:c>
      <x:c r="C18" s="43" t="s">
        <x:v>49</x:v>
      </x:c>
      <x:c r="D18" s="61" t="s">
        <x:v>55</x:v>
      </x:c>
      <x:c r="E18" s="61" t="s">
        <x:v>59</x:v>
      </x:c>
      <x:c r="F18" s="62" t="str">
        <x:f t="shared" si="0"/>
        <x:v>No</x:v>
      </x:c>
      <x:c r="G18" s="57" t="str">
        <x:f>'Eval. Angélica Tenecela'!C19</x:f>
        <x:v>No ambiguo</x:v>
      </x:c>
      <x:c r="H18" s="57" t="str">
        <x:f>'Eval. Geovanny Ochoa'!C19</x:f>
        <x:v>No ambiguo</x:v>
      </x:c>
      <x:c r="I18" s="57" t="str">
        <x:f>'Eval. Valeska Chica'!C19</x:f>
        <x:v>No ambiguo</x:v>
      </x:c>
      <x:c r="J18" s="57" t="str">
        <x:f t="shared" si="1"/>
        <x:v>No ambiguo</x:v>
      </x:c>
      <x:c r="K18" s="64" t="str">
        <x:f t="shared" si="2"/>
        <x:v>3/3</x:v>
      </x:c>
    </x:row>
    <x:row r="19" ht="27.950000762939453" customHeight="1">
      <x:c r="A19" s="60" t="s">
        <x:v>86</x:v>
      </x:c>
      <x:c r="B19" s="43" t="s">
        <x:v>87</x:v>
      </x:c>
      <x:c r="C19" s="43" t="s">
        <x:v>49</x:v>
      </x:c>
      <x:c r="D19" s="61" t="s">
        <x:v>50</x:v>
      </x:c>
      <x:c r="E19" s="61" t="s">
        <x:v>51</x:v>
      </x:c>
      <x:c r="F19" s="62" t="str">
        <x:f t="shared" si="0"/>
        <x:v>Sí</x:v>
      </x:c>
      <x:c r="G19" s="57" t="str">
        <x:f>'Eval. Angélica Tenecela'!C20</x:f>
        <x:v>No ambiguo</x:v>
      </x:c>
      <x:c r="H19" s="57" t="str">
        <x:f>'Eval. Geovanny Ochoa'!C20</x:f>
        <x:v>No ambiguo</x:v>
      </x:c>
      <x:c r="I19" s="57" t="str">
        <x:f>'Eval. Valeska Chica'!C20</x:f>
        <x:v>No ambiguo</x:v>
      </x:c>
      <x:c r="J19" s="57" t="str">
        <x:f t="shared" si="1"/>
        <x:v>No ambiguo</x:v>
      </x:c>
      <x:c r="K19" s="64" t="str">
        <x:f t="shared" si="2"/>
        <x:v>3/3</x:v>
      </x:c>
    </x:row>
    <x:row r="20" ht="27.950000762939453" customHeight="1">
      <x:c r="A20" s="60" t="s">
        <x:v>88</x:v>
      </x:c>
      <x:c r="B20" s="43" t="s">
        <x:v>89</x:v>
      </x:c>
      <x:c r="C20" s="43" t="s">
        <x:v>49</x:v>
      </x:c>
      <x:c r="D20" s="61" t="s">
        <x:v>50</x:v>
      </x:c>
      <x:c r="E20" s="61" t="s">
        <x:v>51</x:v>
      </x:c>
      <x:c r="F20" s="62" t="str">
        <x:f t="shared" si="0"/>
        <x:v>Sí</x:v>
      </x:c>
      <x:c r="G20" s="57" t="str">
        <x:f>'Eval. Angélica Tenecela'!C21</x:f>
        <x:v>No ambiguo</x:v>
      </x:c>
      <x:c r="H20" s="57" t="str">
        <x:f>'Eval. Geovanny Ochoa'!C21</x:f>
        <x:v>No ambiguo</x:v>
      </x:c>
      <x:c r="I20" s="57" t="str">
        <x:f>'Eval. Valeska Chica'!C21</x:f>
        <x:v>No ambiguo</x:v>
      </x:c>
      <x:c r="J20" s="57" t="str">
        <x:f t="shared" si="1"/>
        <x:v>No ambiguo</x:v>
      </x:c>
      <x:c r="K20" s="64" t="str">
        <x:f t="shared" si="2"/>
        <x:v>3/3</x:v>
      </x:c>
    </x:row>
    <x:row r="21" ht="27.950000762939453" customHeight="1">
      <x:c r="A21" s="60" t="s">
        <x:v>90</x:v>
      </x:c>
      <x:c r="B21" s="43" t="s">
        <x:v>91</x:v>
      </x:c>
      <x:c r="C21" s="43" t="s">
        <x:v>49</x:v>
      </x:c>
      <x:c r="D21" s="61" t="s">
        <x:v>50</x:v>
      </x:c>
      <x:c r="E21" s="61" t="s">
        <x:v>51</x:v>
      </x:c>
      <x:c r="F21" s="62" t="str">
        <x:f t="shared" si="0"/>
        <x:v>Sí</x:v>
      </x:c>
      <x:c r="G21" s="57" t="str">
        <x:f>'Eval. Angélica Tenecela'!C22</x:f>
        <x:v>No ambiguo</x:v>
      </x:c>
      <x:c r="H21" s="57" t="str">
        <x:f>'Eval. Geovanny Ochoa'!C22</x:f>
        <x:v>No ambiguo</x:v>
      </x:c>
      <x:c r="I21" s="57" t="str">
        <x:f>'Eval. Valeska Chica'!C22</x:f>
        <x:v>No ambiguo</x:v>
      </x:c>
      <x:c r="J21" s="57" t="str">
        <x:f t="shared" si="1"/>
        <x:v>No ambiguo</x:v>
      </x:c>
      <x:c r="K21" s="64" t="str">
        <x:f t="shared" si="2"/>
        <x:v>3/3</x:v>
      </x:c>
    </x:row>
    <x:row r="22" ht="27.950000762939453" customHeight="1">
      <x:c r="A22" s="60" t="s">
        <x:v>92</x:v>
      </x:c>
      <x:c r="B22" s="43" t="s">
        <x:v>93</x:v>
      </x:c>
      <x:c r="C22" s="43" t="s">
        <x:v>64</x:v>
      </x:c>
      <x:c r="D22" s="61" t="s">
        <x:v>50</x:v>
      </x:c>
      <x:c r="E22" s="61" t="s">
        <x:v>51</x:v>
      </x:c>
      <x:c r="F22" s="62" t="str">
        <x:f t="shared" si="0"/>
        <x:v>No</x:v>
      </x:c>
      <x:c r="G22" s="57" t="str">
        <x:f>'Eval. Angélica Tenecela'!C23</x:f>
        <x:v>Ambiguo</x:v>
      </x:c>
      <x:c r="H22" s="57" t="str">
        <x:f>'Eval. Geovanny Ochoa'!C23</x:f>
        <x:v>Ambiguo</x:v>
      </x:c>
      <x:c r="I22" s="57" t="str">
        <x:f>'Eval. Valeska Chica'!C23</x:f>
        <x:v>Ambiguo</x:v>
      </x:c>
      <x:c r="J22" s="57" t="str">
        <x:f t="shared" si="1"/>
        <x:v>Ambiguo</x:v>
      </x:c>
      <x:c r="K22" s="64" t="str">
        <x:f t="shared" si="2"/>
        <x:v>3/3</x:v>
      </x:c>
    </x:row>
    <x:row r="23" ht="27.950000762939453" customHeight="1">
      <x:c r="A23" s="60" t="s">
        <x:v>94</x:v>
      </x:c>
      <x:c r="B23" s="43" t="s">
        <x:v>95</x:v>
      </x:c>
      <x:c r="C23" s="43" t="s">
        <x:v>78</x:v>
      </x:c>
      <x:c r="D23" s="61" t="s">
        <x:v>50</x:v>
      </x:c>
      <x:c r="E23" s="61" t="s">
        <x:v>51</x:v>
      </x:c>
      <x:c r="F23" s="62" t="str">
        <x:f t="shared" si="0"/>
        <x:v>Sí</x:v>
      </x:c>
      <x:c r="G23" s="57" t="str">
        <x:f>'Eval. Angélica Tenecela'!C24</x:f>
        <x:v>No ambiguo</x:v>
      </x:c>
      <x:c r="H23" s="57" t="str">
        <x:f>'Eval. Geovanny Ochoa'!C24</x:f>
        <x:v>No ambiguo</x:v>
      </x:c>
      <x:c r="I23" s="57" t="str">
        <x:f>'Eval. Valeska Chica'!C24</x:f>
        <x:v>No ambiguo</x:v>
      </x:c>
      <x:c r="J23" s="57" t="str">
        <x:f t="shared" si="1"/>
        <x:v>No ambiguo</x:v>
      </x:c>
      <x:c r="K23" s="64" t="str">
        <x:f t="shared" si="2"/>
        <x:v>3/3</x:v>
      </x:c>
    </x:row>
    <x:row r="24" ht="27.950000762939453" customHeight="1">
      <x:c r="A24" s="60" t="s">
        <x:v>96</x:v>
      </x:c>
      <x:c r="B24" s="43" t="s">
        <x:v>97</x:v>
      </x:c>
      <x:c r="C24" s="43" t="s">
        <x:v>49</x:v>
      </x:c>
      <x:c r="D24" s="61" t="s">
        <x:v>50</x:v>
      </x:c>
      <x:c r="E24" s="61" t="s">
        <x:v>51</x:v>
      </x:c>
      <x:c r="F24" s="62" t="str">
        <x:f t="shared" si="0"/>
        <x:v>Sí</x:v>
      </x:c>
      <x:c r="G24" s="57" t="str">
        <x:f>'Eval. Angélica Tenecela'!C25</x:f>
        <x:v>No ambiguo</x:v>
      </x:c>
      <x:c r="H24" s="57" t="str">
        <x:f>'Eval. Geovanny Ochoa'!C25</x:f>
        <x:v>No ambiguo</x:v>
      </x:c>
      <x:c r="I24" s="57" t="str">
        <x:f>'Eval. Valeska Chica'!C25</x:f>
        <x:v>No ambiguo</x:v>
      </x:c>
      <x:c r="J24" s="57" t="str">
        <x:f t="shared" si="1"/>
        <x:v>No ambiguo</x:v>
      </x:c>
      <x:c r="K24" s="64" t="str">
        <x:f t="shared" si="2"/>
        <x:v>3/3</x:v>
      </x:c>
    </x:row>
    <x:row r="25" ht="27.950000762939453" customHeight="1">
      <x:c r="A25" s="60" t="s">
        <x:v>98</x:v>
      </x:c>
      <x:c r="B25" s="43" t="s">
        <x:v>99</x:v>
      </x:c>
      <x:c r="C25" s="43" t="s">
        <x:v>64</x:v>
      </x:c>
      <x:c r="D25" s="61" t="s">
        <x:v>55</x:v>
      </x:c>
      <x:c r="E25" s="61" t="s">
        <x:v>65</x:v>
      </x:c>
      <x:c r="F25" s="62" t="str">
        <x:f t="shared" si="0"/>
        <x:v>Sí</x:v>
      </x:c>
      <x:c r="G25" s="57" t="str">
        <x:f>'Eval. Angélica Tenecela'!C26</x:f>
        <x:v>Ambiguo</x:v>
      </x:c>
      <x:c r="H25" s="57" t="str">
        <x:f>'Eval. Geovanny Ochoa'!C26</x:f>
        <x:v>Ambiguo</x:v>
      </x:c>
      <x:c r="I25" s="57" t="str">
        <x:f>'Eval. Valeska Chica'!C26</x:f>
        <x:v>Ambiguo</x:v>
      </x:c>
      <x:c r="J25" s="57" t="str">
        <x:f t="shared" si="1"/>
        <x:v>Ambiguo</x:v>
      </x:c>
      <x:c r="K25" s="64" t="str">
        <x:f t="shared" si="2"/>
        <x:v>3/3</x:v>
      </x:c>
    </x:row>
    <x:row r="26" ht="27.950000762939453" customHeight="1">
      <x:c r="A26" s="60" t="s">
        <x:v>100</x:v>
      </x:c>
      <x:c r="B26" s="43" t="s">
        <x:v>101</x:v>
      </x:c>
      <x:c r="C26" s="43" t="s">
        <x:v>54</x:v>
      </x:c>
      <x:c r="D26" s="61" t="s">
        <x:v>50</x:v>
      </x:c>
      <x:c r="E26" s="61" t="s">
        <x:v>51</x:v>
      </x:c>
      <x:c r="F26" s="62" t="str">
        <x:f t="shared" si="0"/>
        <x:v>Sí</x:v>
      </x:c>
      <x:c r="G26" s="57" t="str">
        <x:f>'Eval. Angélica Tenecela'!C27</x:f>
        <x:v>No ambiguo</x:v>
      </x:c>
      <x:c r="H26" s="57" t="str">
        <x:f>'Eval. Geovanny Ochoa'!C27</x:f>
        <x:v>No ambiguo</x:v>
      </x:c>
      <x:c r="I26" s="57" t="str">
        <x:f>'Eval. Valeska Chica'!C27</x:f>
        <x:v>No ambiguo</x:v>
      </x:c>
      <x:c r="J26" s="57" t="str">
        <x:f t="shared" si="1"/>
        <x:v>No ambiguo</x:v>
      </x:c>
      <x:c r="K26" s="64" t="str">
        <x:f t="shared" si="2"/>
        <x:v>3/3</x:v>
      </x:c>
    </x:row>
    <x:row r="27" ht="27.950000762939453" customHeight="1">
      <x:c r="A27" s="60" t="s">
        <x:v>102</x:v>
      </x:c>
      <x:c r="B27" s="43" t="s">
        <x:v>103</x:v>
      </x:c>
      <x:c r="C27" s="43" t="s">
        <x:v>49</x:v>
      </x:c>
      <x:c r="D27" s="61" t="s">
        <x:v>50</x:v>
      </x:c>
      <x:c r="E27" s="61" t="s">
        <x:v>51</x:v>
      </x:c>
      <x:c r="F27" s="62" t="str">
        <x:f t="shared" si="0"/>
        <x:v>Sí</x:v>
      </x:c>
      <x:c r="G27" s="57" t="str">
        <x:f>'Eval. Angélica Tenecela'!C28</x:f>
        <x:v>No ambiguo</x:v>
      </x:c>
      <x:c r="H27" s="57" t="str">
        <x:f>'Eval. Geovanny Ochoa'!C28</x:f>
        <x:v>No ambiguo</x:v>
      </x:c>
      <x:c r="I27" s="57" t="str">
        <x:f>'Eval. Valeska Chica'!C28</x:f>
        <x:v>No ambiguo</x:v>
      </x:c>
      <x:c r="J27" s="57" t="str">
        <x:f t="shared" si="1"/>
        <x:v>No ambiguo</x:v>
      </x:c>
      <x:c r="K27" s="64" t="str">
        <x:f t="shared" si="2"/>
        <x:v>3/3</x:v>
      </x:c>
    </x:row>
    <x:row r="28" ht="27.950000762939453" customHeight="1">
      <x:c r="A28" s="60" t="s">
        <x:v>104</x:v>
      </x:c>
      <x:c r="B28" s="43" t="s">
        <x:v>105</x:v>
      </x:c>
      <x:c r="C28" s="43" t="s">
        <x:v>49</x:v>
      </x:c>
      <x:c r="D28" s="61" t="s">
        <x:v>55</x:v>
      </x:c>
      <x:c r="E28" s="61" t="s">
        <x:v>59</x:v>
      </x:c>
      <x:c r="F28" s="62" t="str">
        <x:f t="shared" si="0"/>
        <x:v>No</x:v>
      </x:c>
      <x:c r="G28" s="57" t="str">
        <x:f>'Eval. Angélica Tenecela'!C29</x:f>
        <x:v>No ambiguo</x:v>
      </x:c>
      <x:c r="H28" s="57" t="str">
        <x:f>'Eval. Geovanny Ochoa'!C29</x:f>
        <x:v>No ambiguo</x:v>
      </x:c>
      <x:c r="I28" s="57" t="str">
        <x:f>'Eval. Valeska Chica'!C29</x:f>
        <x:v>No ambiguo</x:v>
      </x:c>
      <x:c r="J28" s="57" t="str">
        <x:f t="shared" si="1"/>
        <x:v>No ambiguo</x:v>
      </x:c>
      <x:c r="K28" s="64" t="str">
        <x:f t="shared" si="2"/>
        <x:v>3/3</x:v>
      </x:c>
    </x:row>
    <x:row r="29" ht="27.950000762939453" customHeight="1">
      <x:c r="A29" s="60" t="s">
        <x:v>106</x:v>
      </x:c>
      <x:c r="B29" s="43" t="s">
        <x:v>107</x:v>
      </x:c>
      <x:c r="C29" s="43" t="s">
        <x:v>54</x:v>
      </x:c>
      <x:c r="D29" s="61" t="s">
        <x:v>50</x:v>
      </x:c>
      <x:c r="E29" s="61" t="s">
        <x:v>51</x:v>
      </x:c>
      <x:c r="F29" s="62" t="str">
        <x:f t="shared" si="0"/>
        <x:v>Sí</x:v>
      </x:c>
      <x:c r="G29" s="57" t="str">
        <x:f>'Eval. Angélica Tenecela'!C30</x:f>
        <x:v>No ambiguo</x:v>
      </x:c>
      <x:c r="H29" s="57" t="str">
        <x:f>'Eval. Geovanny Ochoa'!C30</x:f>
        <x:v>No ambiguo</x:v>
      </x:c>
      <x:c r="I29" s="57" t="str">
        <x:f>'Eval. Valeska Chica'!C30</x:f>
        <x:v>No ambiguo</x:v>
      </x:c>
      <x:c r="J29" s="57" t="str">
        <x:f t="shared" si="1"/>
        <x:v>No ambiguo</x:v>
      </x:c>
      <x:c r="K29" s="64" t="str">
        <x:f t="shared" si="2"/>
        <x:v>3/3</x:v>
      </x:c>
    </x:row>
    <x:row r="30" ht="27.950000762939453" customHeight="1">
      <x:c r="A30" s="60" t="s">
        <x:v>108</x:v>
      </x:c>
      <x:c r="B30" s="43" t="s">
        <x:v>109</x:v>
      </x:c>
      <x:c r="C30" s="43" t="s">
        <x:v>49</x:v>
      </x:c>
      <x:c r="D30" s="61" t="s">
        <x:v>55</x:v>
      </x:c>
      <x:c r="E30" s="61" t="s">
        <x:v>59</x:v>
      </x:c>
      <x:c r="F30" s="62" t="str">
        <x:f t="shared" si="0"/>
        <x:v>Sí</x:v>
      </x:c>
      <x:c r="G30" s="57" t="str">
        <x:f>'Eval. Angélica Tenecela'!C31</x:f>
        <x:v>Ambiguo</x:v>
      </x:c>
      <x:c r="H30" s="57" t="str">
        <x:f>'Eval. Geovanny Ochoa'!C31</x:f>
        <x:v>Ambiguo</x:v>
      </x:c>
      <x:c r="I30" s="57" t="str">
        <x:f>'Eval. Valeska Chica'!C31</x:f>
        <x:v>Ambiguo</x:v>
      </x:c>
      <x:c r="J30" s="57" t="str">
        <x:f t="shared" si="1"/>
        <x:v>Ambiguo</x:v>
      </x:c>
      <x:c r="K30" s="64" t="str">
        <x:f t="shared" si="2"/>
        <x:v>3/3</x:v>
      </x:c>
    </x:row>
    <x:row r="31" ht="27.950000762939453" customHeight="1">
      <x:c r="A31" s="60" t="s">
        <x:v>110</x:v>
      </x:c>
      <x:c r="B31" s="43" t="s">
        <x:v>111</x:v>
      </x:c>
      <x:c r="C31" s="43" t="s">
        <x:v>49</x:v>
      </x:c>
      <x:c r="D31" s="61" t="s">
        <x:v>50</x:v>
      </x:c>
      <x:c r="E31" s="61" t="s">
        <x:v>51</x:v>
      </x:c>
      <x:c r="F31" s="62" t="str">
        <x:f t="shared" si="0"/>
        <x:v>Sí</x:v>
      </x:c>
      <x:c r="G31" s="57" t="str">
        <x:f>'Eval. Angélica Tenecela'!C32</x:f>
        <x:v>No ambiguo</x:v>
      </x:c>
      <x:c r="H31" s="57" t="str">
        <x:f>'Eval. Geovanny Ochoa'!C32</x:f>
        <x:v>No ambiguo</x:v>
      </x:c>
      <x:c r="I31" s="57" t="str">
        <x:f>'Eval. Valeska Chica'!C32</x:f>
        <x:v>No ambiguo</x:v>
      </x:c>
      <x:c r="J31" s="57" t="str">
        <x:f t="shared" si="1"/>
        <x:v>No ambiguo</x:v>
      </x:c>
      <x:c r="K31" s="64" t="str">
        <x:f t="shared" si="2"/>
        <x:v>3/3</x:v>
      </x:c>
    </x:row>
    <x:row r="32" ht="27.950000762939453" customHeight="1">
      <x:c r="A32" s="60" t="s">
        <x:v>112</x:v>
      </x:c>
      <x:c r="B32" s="43" t="s">
        <x:v>113</x:v>
      </x:c>
      <x:c r="C32" s="43" t="s">
        <x:v>78</x:v>
      </x:c>
      <x:c r="D32" s="61" t="s">
        <x:v>50</x:v>
      </x:c>
      <x:c r="E32" s="61" t="s">
        <x:v>51</x:v>
      </x:c>
      <x:c r="F32" s="62" t="str">
        <x:f t="shared" si="0"/>
        <x:v>Sí</x:v>
      </x:c>
      <x:c r="G32" s="57" t="str">
        <x:f>'Eval. Angélica Tenecela'!C33</x:f>
        <x:v>No ambiguo</x:v>
      </x:c>
      <x:c r="H32" s="57" t="str">
        <x:f>'Eval. Geovanny Ochoa'!C33</x:f>
        <x:v>No ambiguo</x:v>
      </x:c>
      <x:c r="I32" s="57" t="str">
        <x:f>'Eval. Valeska Chica'!C33</x:f>
        <x:v>No ambiguo</x:v>
      </x:c>
      <x:c r="J32" s="57" t="str">
        <x:f t="shared" si="1"/>
        <x:v>No ambiguo</x:v>
      </x:c>
      <x:c r="K32" s="64" t="str">
        <x:f t="shared" si="2"/>
        <x:v>3/3</x:v>
      </x:c>
    </x:row>
    <x:row r="33" ht="27.950000762939453" customHeight="1">
      <x:c r="A33" s="60" t="s">
        <x:v>114</x:v>
      </x:c>
      <x:c r="B33" s="43" t="s">
        <x:v>115</x:v>
      </x:c>
      <x:c r="C33" s="43" t="s">
        <x:v>49</x:v>
      </x:c>
      <x:c r="D33" s="61" t="s">
        <x:v>50</x:v>
      </x:c>
      <x:c r="E33" s="61" t="s">
        <x:v>51</x:v>
      </x:c>
      <x:c r="F33" s="62" t="str">
        <x:f t="shared" si="0"/>
        <x:v>Sí</x:v>
      </x:c>
      <x:c r="G33" s="57" t="str">
        <x:f>'Eval. Angélica Tenecela'!C34</x:f>
        <x:v>No ambiguo</x:v>
      </x:c>
      <x:c r="H33" s="57" t="str">
        <x:f>'Eval. Geovanny Ochoa'!C34</x:f>
        <x:v>No ambiguo</x:v>
      </x:c>
      <x:c r="I33" s="57" t="str">
        <x:f>'Eval. Valeska Chica'!C34</x:f>
        <x:v>No ambiguo</x:v>
      </x:c>
      <x:c r="J33" s="57" t="str">
        <x:f t="shared" si="1"/>
        <x:v>No ambiguo</x:v>
      </x:c>
      <x:c r="K33" s="64" t="str">
        <x:f t="shared" si="2"/>
        <x:v>3/3</x:v>
      </x:c>
    </x:row>
    <x:row r="34" ht="27.950000762939453" customHeight="1">
      <x:c r="A34" s="60" t="s">
        <x:v>116</x:v>
      </x:c>
      <x:c r="B34" s="43" t="s">
        <x:v>117</x:v>
      </x:c>
      <x:c r="C34" s="43" t="s">
        <x:v>54</x:v>
      </x:c>
      <x:c r="D34" s="61" t="s">
        <x:v>50</x:v>
      </x:c>
      <x:c r="E34" s="61" t="s">
        <x:v>51</x:v>
      </x:c>
      <x:c r="F34" s="62" t="str">
        <x:f t="shared" si="0"/>
        <x:v>Sí</x:v>
      </x:c>
      <x:c r="G34" s="57" t="str">
        <x:f>'Eval. Angélica Tenecela'!C35</x:f>
        <x:v>No ambiguo</x:v>
      </x:c>
      <x:c r="H34" s="57" t="str">
        <x:f>'Eval. Geovanny Ochoa'!C35</x:f>
        <x:v>No ambiguo</x:v>
      </x:c>
      <x:c r="I34" s="57" t="str">
        <x:f>'Eval. Valeska Chica'!C35</x:f>
        <x:v>No ambiguo</x:v>
      </x:c>
      <x:c r="J34" s="57" t="str">
        <x:f t="shared" si="1"/>
        <x:v>No ambiguo</x:v>
      </x:c>
      <x:c r="K34" s="64" t="str">
        <x:f t="shared" si="2"/>
        <x:v>3/3</x:v>
      </x:c>
    </x:row>
    <x:row r="35" ht="27.950000762939453" customHeight="1">
      <x:c r="A35" s="60" t="s">
        <x:v>118</x:v>
      </x:c>
      <x:c r="B35" s="43" t="s">
        <x:v>119</x:v>
      </x:c>
      <x:c r="C35" s="43" t="s">
        <x:v>64</x:v>
      </x:c>
      <x:c r="D35" s="61" t="s">
        <x:v>55</x:v>
      </x:c>
      <x:c r="E35" s="61" t="s">
        <x:v>65</x:v>
      </x:c>
      <x:c r="F35" s="62" t="str">
        <x:f t="shared" si="0"/>
        <x:v>No</x:v>
      </x:c>
      <x:c r="G35" s="57" t="str">
        <x:f>'Eval. Angélica Tenecela'!C36</x:f>
        <x:v>No ambiguo</x:v>
      </x:c>
      <x:c r="H35" s="57" t="str">
        <x:f>'Eval. Geovanny Ochoa'!C36</x:f>
        <x:v>No ambiguo</x:v>
      </x:c>
      <x:c r="I35" s="57" t="str">
        <x:f>'Eval. Valeska Chica'!C36</x:f>
        <x:v>No ambiguo</x:v>
      </x:c>
      <x:c r="J35" s="57" t="str">
        <x:f t="shared" si="1"/>
        <x:v>No ambiguo</x:v>
      </x:c>
      <x:c r="K35" s="64" t="str">
        <x:f t="shared" si="2"/>
        <x:v>3/3</x:v>
      </x:c>
    </x:row>
    <x:row r="36" ht="27.950000762939453" customHeight="1">
      <x:c r="A36" s="60" t="s">
        <x:v>120</x:v>
      </x:c>
      <x:c r="B36" s="43" t="s">
        <x:v>121</x:v>
      </x:c>
      <x:c r="C36" s="43" t="s">
        <x:v>49</x:v>
      </x:c>
      <x:c r="D36" s="61" t="s">
        <x:v>50</x:v>
      </x:c>
      <x:c r="E36" s="61" t="s">
        <x:v>51</x:v>
      </x:c>
      <x:c r="F36" s="62" t="str">
        <x:f t="shared" si="0"/>
        <x:v>Sí</x:v>
      </x:c>
      <x:c r="G36" s="57" t="str">
        <x:f>'Eval. Angélica Tenecela'!C37</x:f>
        <x:v>No ambiguo</x:v>
      </x:c>
      <x:c r="H36" s="57" t="str">
        <x:f>'Eval. Geovanny Ochoa'!C37</x:f>
        <x:v>No ambiguo</x:v>
      </x:c>
      <x:c r="I36" s="57" t="str">
        <x:f>'Eval. Valeska Chica'!C37</x:f>
        <x:v>No ambiguo</x:v>
      </x:c>
      <x:c r="J36" s="57" t="str">
        <x:f t="shared" si="1"/>
        <x:v>No ambiguo</x:v>
      </x:c>
      <x:c r="K36" s="64" t="str">
        <x:f t="shared" si="2"/>
        <x:v>3/3</x:v>
      </x:c>
    </x:row>
    <x:row r="37" ht="27.950000762939453" customHeight="1">
      <x:c r="A37" s="60" t="s">
        <x:v>122</x:v>
      </x:c>
      <x:c r="B37" s="43" t="s">
        <x:v>123</x:v>
      </x:c>
      <x:c r="C37" s="43" t="s">
        <x:v>64</x:v>
      </x:c>
      <x:c r="D37" s="61" t="s">
        <x:v>55</x:v>
      </x:c>
      <x:c r="E37" s="61" t="s">
        <x:v>65</x:v>
      </x:c>
      <x:c r="F37" s="62" t="str">
        <x:f t="shared" ref="F37:F65" si="3">IF(D37=J37,"Sí","No")</x:f>
        <x:v>Sí</x:v>
      </x:c>
      <x:c r="G37" s="57" t="str">
        <x:f>'Eval. Angélica Tenecela'!C38</x:f>
        <x:v>Ambiguo</x:v>
      </x:c>
      <x:c r="H37" s="57" t="str">
        <x:f>'Eval. Geovanny Ochoa'!C38</x:f>
        <x:v>Ambiguo</x:v>
      </x:c>
      <x:c r="I37" s="57" t="str">
        <x:f>'Eval. Valeska Chica'!C38</x:f>
        <x:v>Ambiguo</x:v>
      </x:c>
      <x:c r="J37" s="57" t="str">
        <x:f t="shared" ref="J37:J65" si="4">IF(COUNTIF(G37:I37,"Ambiguo")&gt;=2,"Ambiguo","No ambiguo")</x:f>
        <x:v>Ambiguo</x:v>
      </x:c>
      <x:c r="K37" s="64" t="str">
        <x:f t="shared" ref="K37:K65" si="5">IF(OR(COUNTIF(G37:I37,"Ambiguo")=3,COUNTIF(G37:I37,"No ambiguo")=3),"3/3","2/3")</x:f>
        <x:v>3/3</x:v>
      </x:c>
    </x:row>
    <x:row r="38" ht="27.950000762939453" customHeight="1">
      <x:c r="A38" s="60" t="s">
        <x:v>124</x:v>
      </x:c>
      <x:c r="B38" s="43" t="s">
        <x:v>125</x:v>
      </x:c>
      <x:c r="C38" s="43" t="s">
        <x:v>49</x:v>
      </x:c>
      <x:c r="D38" s="61" t="s">
        <x:v>50</x:v>
      </x:c>
      <x:c r="E38" s="61" t="s">
        <x:v>51</x:v>
      </x:c>
      <x:c r="F38" s="62" t="str">
        <x:f t="shared" si="3"/>
        <x:v>Sí</x:v>
      </x:c>
      <x:c r="G38" s="57" t="str">
        <x:f>'Eval. Angélica Tenecela'!C39</x:f>
        <x:v>No ambiguo</x:v>
      </x:c>
      <x:c r="H38" s="57" t="str">
        <x:f>'Eval. Geovanny Ochoa'!C39</x:f>
        <x:v>No ambiguo</x:v>
      </x:c>
      <x:c r="I38" s="57" t="str">
        <x:f>'Eval. Valeska Chica'!C39</x:f>
        <x:v>No ambiguo</x:v>
      </x:c>
      <x:c r="J38" s="57" t="str">
        <x:f t="shared" si="4"/>
        <x:v>No ambiguo</x:v>
      </x:c>
      <x:c r="K38" s="64" t="str">
        <x:f t="shared" si="5"/>
        <x:v>3/3</x:v>
      </x:c>
    </x:row>
    <x:row r="39" ht="27.950000762939453" customHeight="1">
      <x:c r="A39" s="60" t="s">
        <x:v>126</x:v>
      </x:c>
      <x:c r="B39" s="43" t="s">
        <x:v>127</x:v>
      </x:c>
      <x:c r="C39" s="43" t="s">
        <x:v>64</x:v>
      </x:c>
      <x:c r="D39" s="61" t="s">
        <x:v>50</x:v>
      </x:c>
      <x:c r="E39" s="61" t="s">
        <x:v>51</x:v>
      </x:c>
      <x:c r="F39" s="62" t="str">
        <x:f t="shared" si="3"/>
        <x:v>Sí</x:v>
      </x:c>
      <x:c r="G39" s="57" t="str">
        <x:f>'Eval. Angélica Tenecela'!C40</x:f>
        <x:v>No ambiguo</x:v>
      </x:c>
      <x:c r="H39" s="57" t="str">
        <x:f>'Eval. Geovanny Ochoa'!C40</x:f>
        <x:v>No ambiguo</x:v>
      </x:c>
      <x:c r="I39" s="57" t="str">
        <x:f>'Eval. Valeska Chica'!C40</x:f>
        <x:v>No ambiguo</x:v>
      </x:c>
      <x:c r="J39" s="57" t="str">
        <x:f t="shared" si="4"/>
        <x:v>No ambiguo</x:v>
      </x:c>
      <x:c r="K39" s="64" t="str">
        <x:f t="shared" si="5"/>
        <x:v>3/3</x:v>
      </x:c>
    </x:row>
    <x:row r="40" ht="27.950000762939453" customHeight="1">
      <x:c r="A40" s="60" t="s">
        <x:v>128</x:v>
      </x:c>
      <x:c r="B40" s="43" t="s">
        <x:v>129</x:v>
      </x:c>
      <x:c r="C40" s="43" t="s">
        <x:v>49</x:v>
      </x:c>
      <x:c r="D40" s="61" t="s">
        <x:v>50</x:v>
      </x:c>
      <x:c r="E40" s="61" t="s">
        <x:v>51</x:v>
      </x:c>
      <x:c r="F40" s="62" t="str">
        <x:f t="shared" si="3"/>
        <x:v>Sí</x:v>
      </x:c>
      <x:c r="G40" s="57" t="str">
        <x:f>'Eval. Angélica Tenecela'!C41</x:f>
        <x:v>No ambiguo</x:v>
      </x:c>
      <x:c r="H40" s="57" t="str">
        <x:f>'Eval. Geovanny Ochoa'!C41</x:f>
        <x:v>No ambiguo</x:v>
      </x:c>
      <x:c r="I40" s="57" t="str">
        <x:f>'Eval. Valeska Chica'!C41</x:f>
        <x:v>No ambiguo</x:v>
      </x:c>
      <x:c r="J40" s="57" t="str">
        <x:f t="shared" si="4"/>
        <x:v>No ambiguo</x:v>
      </x:c>
      <x:c r="K40" s="64" t="str">
        <x:f t="shared" si="5"/>
        <x:v>3/3</x:v>
      </x:c>
    </x:row>
    <x:row r="41" ht="27.950000762939453" customHeight="1">
      <x:c r="A41" s="60" t="s">
        <x:v>130</x:v>
      </x:c>
      <x:c r="B41" s="43" t="s">
        <x:v>131</x:v>
      </x:c>
      <x:c r="C41" s="43" t="s">
        <x:v>49</x:v>
      </x:c>
      <x:c r="D41" s="61" t="s">
        <x:v>55</x:v>
      </x:c>
      <x:c r="E41" s="61" t="s">
        <x:v>59</x:v>
      </x:c>
      <x:c r="F41" s="62" t="str">
        <x:f t="shared" si="3"/>
        <x:v>No</x:v>
      </x:c>
      <x:c r="G41" s="57" t="str">
        <x:f>'Eval. Angélica Tenecela'!C42</x:f>
        <x:v>No ambiguo</x:v>
      </x:c>
      <x:c r="H41" s="57" t="str">
        <x:f>'Eval. Geovanny Ochoa'!C42</x:f>
        <x:v>No ambiguo</x:v>
      </x:c>
      <x:c r="I41" s="57" t="str">
        <x:f>'Eval. Valeska Chica'!C42</x:f>
        <x:v>Ambiguo</x:v>
      </x:c>
      <x:c r="J41" s="57" t="str">
        <x:f t="shared" si="4"/>
        <x:v>No ambiguo</x:v>
      </x:c>
      <x:c r="K41" s="64" t="str">
        <x:f t="shared" si="5"/>
        <x:v>2/3</x:v>
      </x:c>
    </x:row>
    <x:row r="42" ht="27.950000762939453" customHeight="1">
      <x:c r="A42" s="60" t="s">
        <x:v>132</x:v>
      </x:c>
      <x:c r="B42" s="43" t="s">
        <x:v>133</x:v>
      </x:c>
      <x:c r="C42" s="43" t="s">
        <x:v>49</x:v>
      </x:c>
      <x:c r="D42" s="61" t="s">
        <x:v>50</x:v>
      </x:c>
      <x:c r="E42" s="61" t="s">
        <x:v>51</x:v>
      </x:c>
      <x:c r="F42" s="62" t="str">
        <x:f t="shared" si="3"/>
        <x:v>Sí</x:v>
      </x:c>
      <x:c r="G42" s="57" t="str">
        <x:f>'Eval. Angélica Tenecela'!C43</x:f>
        <x:v>No ambiguo</x:v>
      </x:c>
      <x:c r="H42" s="57" t="str">
        <x:f>'Eval. Geovanny Ochoa'!C43</x:f>
        <x:v>No ambiguo</x:v>
      </x:c>
      <x:c r="I42" s="57" t="str">
        <x:f>'Eval. Valeska Chica'!C43</x:f>
        <x:v>No ambiguo</x:v>
      </x:c>
      <x:c r="J42" s="57" t="str">
        <x:f t="shared" si="4"/>
        <x:v>No ambiguo</x:v>
      </x:c>
      <x:c r="K42" s="64" t="str">
        <x:f t="shared" si="5"/>
        <x:v>3/3</x:v>
      </x:c>
    </x:row>
    <x:row r="43" ht="27.950000762939453" customHeight="1">
      <x:c r="A43" s="60" t="s">
        <x:v>134</x:v>
      </x:c>
      <x:c r="B43" s="43" t="s">
        <x:v>135</x:v>
      </x:c>
      <x:c r="C43" s="43" t="s">
        <x:v>64</x:v>
      </x:c>
      <x:c r="D43" s="61" t="s">
        <x:v>50</x:v>
      </x:c>
      <x:c r="E43" s="61" t="s">
        <x:v>51</x:v>
      </x:c>
      <x:c r="F43" s="62" t="str">
        <x:f t="shared" si="3"/>
        <x:v>Sí</x:v>
      </x:c>
      <x:c r="G43" s="57" t="str">
        <x:f>'Eval. Angélica Tenecela'!C44</x:f>
        <x:v>No ambiguo</x:v>
      </x:c>
      <x:c r="H43" s="57" t="str">
        <x:f>'Eval. Geovanny Ochoa'!C44</x:f>
        <x:v>No ambiguo</x:v>
      </x:c>
      <x:c r="I43" s="57" t="str">
        <x:f>'Eval. Valeska Chica'!C44</x:f>
        <x:v>No ambiguo</x:v>
      </x:c>
      <x:c r="J43" s="57" t="str">
        <x:f t="shared" si="4"/>
        <x:v>No ambiguo</x:v>
      </x:c>
      <x:c r="K43" s="64" t="str">
        <x:f t="shared" si="5"/>
        <x:v>3/3</x:v>
      </x:c>
    </x:row>
    <x:row r="44" ht="27.950000762939453" customHeight="1">
      <x:c r="A44" s="60" t="s">
        <x:v>136</x:v>
      </x:c>
      <x:c r="B44" s="43" t="s">
        <x:v>137</x:v>
      </x:c>
      <x:c r="C44" s="43" t="s">
        <x:v>49</x:v>
      </x:c>
      <x:c r="D44" s="61" t="s">
        <x:v>50</x:v>
      </x:c>
      <x:c r="E44" s="61" t="s">
        <x:v>51</x:v>
      </x:c>
      <x:c r="F44" s="62" t="str">
        <x:f t="shared" si="3"/>
        <x:v>Sí</x:v>
      </x:c>
      <x:c r="G44" s="57" t="str">
        <x:f>'Eval. Angélica Tenecela'!C45</x:f>
        <x:v>No ambiguo</x:v>
      </x:c>
      <x:c r="H44" s="57" t="str">
        <x:f>'Eval. Geovanny Ochoa'!C45</x:f>
        <x:v>No ambiguo</x:v>
      </x:c>
      <x:c r="I44" s="57" t="str">
        <x:f>'Eval. Valeska Chica'!C45</x:f>
        <x:v>No ambiguo</x:v>
      </x:c>
      <x:c r="J44" s="57" t="str">
        <x:f t="shared" si="4"/>
        <x:v>No ambiguo</x:v>
      </x:c>
      <x:c r="K44" s="64" t="str">
        <x:f t="shared" si="5"/>
        <x:v>3/3</x:v>
      </x:c>
    </x:row>
    <x:row r="45" ht="27.950000762939453" customHeight="1">
      <x:c r="A45" s="60" t="s">
        <x:v>138</x:v>
      </x:c>
      <x:c r="B45" s="43" t="s">
        <x:v>139</x:v>
      </x:c>
      <x:c r="C45" s="43" t="s">
        <x:v>49</x:v>
      </x:c>
      <x:c r="D45" s="61" t="s">
        <x:v>50</x:v>
      </x:c>
      <x:c r="E45" s="61" t="s">
        <x:v>51</x:v>
      </x:c>
      <x:c r="F45" s="62" t="str">
        <x:f t="shared" si="3"/>
        <x:v>Sí</x:v>
      </x:c>
      <x:c r="G45" s="57" t="str">
        <x:f>'Eval. Angélica Tenecela'!C46</x:f>
        <x:v>No ambiguo</x:v>
      </x:c>
      <x:c r="H45" s="57" t="str">
        <x:f>'Eval. Geovanny Ochoa'!C46</x:f>
        <x:v>No ambiguo</x:v>
      </x:c>
      <x:c r="I45" s="57" t="str">
        <x:f>'Eval. Valeska Chica'!C46</x:f>
        <x:v>No ambiguo</x:v>
      </x:c>
      <x:c r="J45" s="57" t="str">
        <x:f t="shared" si="4"/>
        <x:v>No ambiguo</x:v>
      </x:c>
      <x:c r="K45" s="64" t="str">
        <x:f t="shared" si="5"/>
        <x:v>3/3</x:v>
      </x:c>
    </x:row>
    <x:row r="46" ht="27.950000762939453" customHeight="1">
      <x:c r="A46" s="60" t="s">
        <x:v>140</x:v>
      </x:c>
      <x:c r="B46" s="43" t="s">
        <x:v>141</x:v>
      </x:c>
      <x:c r="C46" s="43" t="s">
        <x:v>49</x:v>
      </x:c>
      <x:c r="D46" s="61" t="s">
        <x:v>50</x:v>
      </x:c>
      <x:c r="E46" s="61" t="s">
        <x:v>51</x:v>
      </x:c>
      <x:c r="F46" s="62" t="str">
        <x:f t="shared" si="3"/>
        <x:v>No</x:v>
      </x:c>
      <x:c r="G46" s="57" t="str">
        <x:f>'Eval. Angélica Tenecela'!C47</x:f>
        <x:v>Ambiguo</x:v>
      </x:c>
      <x:c r="H46" s="57" t="str">
        <x:f>'Eval. Geovanny Ochoa'!C47</x:f>
        <x:v>Ambiguo</x:v>
      </x:c>
      <x:c r="I46" s="57" t="str">
        <x:f>'Eval. Valeska Chica'!C47</x:f>
        <x:v>Ambiguo</x:v>
      </x:c>
      <x:c r="J46" s="57" t="str">
        <x:f t="shared" si="4"/>
        <x:v>Ambiguo</x:v>
      </x:c>
      <x:c r="K46" s="64" t="str">
        <x:f t="shared" si="5"/>
        <x:v>3/3</x:v>
      </x:c>
    </x:row>
    <x:row r="47" ht="27.950000762939453" customHeight="1">
      <x:c r="A47" s="60" t="s">
        <x:v>142</x:v>
      </x:c>
      <x:c r="B47" s="43" t="s">
        <x:v>143</x:v>
      </x:c>
      <x:c r="C47" s="43" t="s">
        <x:v>49</x:v>
      </x:c>
      <x:c r="D47" s="61" t="s">
        <x:v>55</x:v>
      </x:c>
      <x:c r="E47" s="61" t="s">
        <x:v>59</x:v>
      </x:c>
      <x:c r="F47" s="62" t="str">
        <x:f t="shared" si="3"/>
        <x:v>Sí</x:v>
      </x:c>
      <x:c r="G47" s="57" t="str">
        <x:f>'Eval. Angélica Tenecela'!C48</x:f>
        <x:v>Ambiguo</x:v>
      </x:c>
      <x:c r="H47" s="57" t="str">
        <x:f>'Eval. Geovanny Ochoa'!C48</x:f>
        <x:v>Ambiguo</x:v>
      </x:c>
      <x:c r="I47" s="57" t="str">
        <x:f>'Eval. Valeska Chica'!C48</x:f>
        <x:v>Ambiguo</x:v>
      </x:c>
      <x:c r="J47" s="57" t="str">
        <x:f t="shared" si="4"/>
        <x:v>Ambiguo</x:v>
      </x:c>
      <x:c r="K47" s="64" t="str">
        <x:f t="shared" si="5"/>
        <x:v>3/3</x:v>
      </x:c>
    </x:row>
    <x:row r="48" ht="27.950000762939453" customHeight="1">
      <x:c r="A48" s="60" t="s">
        <x:v>144</x:v>
      </x:c>
      <x:c r="B48" s="43" t="s">
        <x:v>145</x:v>
      </x:c>
      <x:c r="C48" s="43" t="s">
        <x:v>64</x:v>
      </x:c>
      <x:c r="D48" s="61" t="s">
        <x:v>50</x:v>
      </x:c>
      <x:c r="E48" s="61" t="s">
        <x:v>51</x:v>
      </x:c>
      <x:c r="F48" s="62" t="str">
        <x:f t="shared" si="3"/>
        <x:v>Sí</x:v>
      </x:c>
      <x:c r="G48" s="57" t="str">
        <x:f>'Eval. Angélica Tenecela'!C49</x:f>
        <x:v>No ambiguo</x:v>
      </x:c>
      <x:c r="H48" s="57" t="str">
        <x:f>'Eval. Geovanny Ochoa'!C49</x:f>
        <x:v>No ambiguo</x:v>
      </x:c>
      <x:c r="I48" s="57" t="str">
        <x:f>'Eval. Valeska Chica'!C49</x:f>
        <x:v>No ambiguo</x:v>
      </x:c>
      <x:c r="J48" s="57" t="str">
        <x:f t="shared" si="4"/>
        <x:v>No ambiguo</x:v>
      </x:c>
      <x:c r="K48" s="64" t="str">
        <x:f t="shared" si="5"/>
        <x:v>3/3</x:v>
      </x:c>
    </x:row>
    <x:row r="49" ht="27.950000762939453" customHeight="1">
      <x:c r="A49" s="60" t="s">
        <x:v>146</x:v>
      </x:c>
      <x:c r="B49" s="43" t="s">
        <x:v>147</x:v>
      </x:c>
      <x:c r="C49" s="43" t="s">
        <x:v>78</x:v>
      </x:c>
      <x:c r="D49" s="61" t="s">
        <x:v>50</x:v>
      </x:c>
      <x:c r="E49" s="61" t="s">
        <x:v>51</x:v>
      </x:c>
      <x:c r="F49" s="62" t="str">
        <x:f t="shared" si="3"/>
        <x:v>Sí</x:v>
      </x:c>
      <x:c r="G49" s="57" t="str">
        <x:f>'Eval. Angélica Tenecela'!C50</x:f>
        <x:v>No ambiguo</x:v>
      </x:c>
      <x:c r="H49" s="57" t="str">
        <x:f>'Eval. Geovanny Ochoa'!C50</x:f>
        <x:v>No ambiguo</x:v>
      </x:c>
      <x:c r="I49" s="57" t="str">
        <x:f>'Eval. Valeska Chica'!C50</x:f>
        <x:v>No ambiguo</x:v>
      </x:c>
      <x:c r="J49" s="57" t="str">
        <x:f t="shared" si="4"/>
        <x:v>No ambiguo</x:v>
      </x:c>
      <x:c r="K49" s="64" t="str">
        <x:f t="shared" si="5"/>
        <x:v>3/3</x:v>
      </x:c>
    </x:row>
    <x:row r="50" ht="27.950000762939453" customHeight="1">
      <x:c r="A50" s="60" t="s">
        <x:v>148</x:v>
      </x:c>
      <x:c r="B50" s="43" t="s">
        <x:v>149</x:v>
      </x:c>
      <x:c r="C50" s="43" t="s">
        <x:v>54</x:v>
      </x:c>
      <x:c r="D50" s="61" t="s">
        <x:v>55</x:v>
      </x:c>
      <x:c r="E50" s="61" t="s">
        <x:v>56</x:v>
      </x:c>
      <x:c r="F50" s="62" t="str">
        <x:f t="shared" si="3"/>
        <x:v>Sí</x:v>
      </x:c>
      <x:c r="G50" s="57" t="str">
        <x:f>'Eval. Angélica Tenecela'!C51</x:f>
        <x:v>Ambiguo</x:v>
      </x:c>
      <x:c r="H50" s="57" t="str">
        <x:f>'Eval. Geovanny Ochoa'!C51</x:f>
        <x:v>Ambiguo</x:v>
      </x:c>
      <x:c r="I50" s="57" t="str">
        <x:f>'Eval. Valeska Chica'!C51</x:f>
        <x:v>Ambiguo</x:v>
      </x:c>
      <x:c r="J50" s="57" t="str">
        <x:f t="shared" si="4"/>
        <x:v>Ambiguo</x:v>
      </x:c>
      <x:c r="K50" s="64" t="str">
        <x:f t="shared" si="5"/>
        <x:v>3/3</x:v>
      </x:c>
    </x:row>
    <x:row r="51" ht="27.950000762939453" customHeight="1">
      <x:c r="A51" s="60" t="s">
        <x:v>150</x:v>
      </x:c>
      <x:c r="B51" s="43" t="s">
        <x:v>151</x:v>
      </x:c>
      <x:c r="C51" s="43" t="s">
        <x:v>54</x:v>
      </x:c>
      <x:c r="D51" s="61" t="s">
        <x:v>50</x:v>
      </x:c>
      <x:c r="E51" s="61" t="s">
        <x:v>51</x:v>
      </x:c>
      <x:c r="F51" s="62" t="str">
        <x:f t="shared" si="3"/>
        <x:v>Sí</x:v>
      </x:c>
      <x:c r="G51" s="57" t="str">
        <x:f>'Eval. Angélica Tenecela'!C52</x:f>
        <x:v>No ambiguo</x:v>
      </x:c>
      <x:c r="H51" s="57" t="str">
        <x:f>'Eval. Geovanny Ochoa'!C52</x:f>
        <x:v>No ambiguo</x:v>
      </x:c>
      <x:c r="I51" s="57" t="str">
        <x:f>'Eval. Valeska Chica'!C52</x:f>
        <x:v>No ambiguo</x:v>
      </x:c>
      <x:c r="J51" s="57" t="str">
        <x:f t="shared" si="4"/>
        <x:v>No ambiguo</x:v>
      </x:c>
      <x:c r="K51" s="64" t="str">
        <x:f t="shared" si="5"/>
        <x:v>3/3</x:v>
      </x:c>
    </x:row>
    <x:row r="52" ht="27.950000762939453" customHeight="1">
      <x:c r="A52" s="60" t="s">
        <x:v>152</x:v>
      </x:c>
      <x:c r="B52" s="43" t="s">
        <x:v>153</x:v>
      </x:c>
      <x:c r="C52" s="43" t="s">
        <x:v>64</x:v>
      </x:c>
      <x:c r="D52" s="61" t="s">
        <x:v>50</x:v>
      </x:c>
      <x:c r="E52" s="61" t="s">
        <x:v>51</x:v>
      </x:c>
      <x:c r="F52" s="62" t="str">
        <x:f t="shared" si="3"/>
        <x:v>No</x:v>
      </x:c>
      <x:c r="G52" s="57" t="str">
        <x:f>'Eval. Angélica Tenecela'!C53</x:f>
        <x:v>Ambiguo</x:v>
      </x:c>
      <x:c r="H52" s="57" t="str">
        <x:f>'Eval. Geovanny Ochoa'!C53</x:f>
        <x:v>No ambiguo</x:v>
      </x:c>
      <x:c r="I52" s="57" t="str">
        <x:f>'Eval. Valeska Chica'!C53</x:f>
        <x:v>Ambiguo</x:v>
      </x:c>
      <x:c r="J52" s="57" t="str">
        <x:f t="shared" si="4"/>
        <x:v>Ambiguo</x:v>
      </x:c>
      <x:c r="K52" s="64" t="str">
        <x:f t="shared" si="5"/>
        <x:v>2/3</x:v>
      </x:c>
    </x:row>
    <x:row r="53" ht="27.950000762939453" customHeight="1">
      <x:c r="A53" s="60" t="s">
        <x:v>154</x:v>
      </x:c>
      <x:c r="B53" s="43" t="s">
        <x:v>155</x:v>
      </x:c>
      <x:c r="C53" s="43" t="s">
        <x:v>54</x:v>
      </x:c>
      <x:c r="D53" s="61" t="s">
        <x:v>50</x:v>
      </x:c>
      <x:c r="E53" s="61" t="s">
        <x:v>51</x:v>
      </x:c>
      <x:c r="F53" s="62" t="str">
        <x:f t="shared" si="3"/>
        <x:v>Sí</x:v>
      </x:c>
      <x:c r="G53" s="57" t="str">
        <x:f>'Eval. Angélica Tenecela'!C54</x:f>
        <x:v>No ambiguo</x:v>
      </x:c>
      <x:c r="H53" s="57" t="str">
        <x:f>'Eval. Geovanny Ochoa'!C54</x:f>
        <x:v>No ambiguo</x:v>
      </x:c>
      <x:c r="I53" s="57" t="str">
        <x:f>'Eval. Valeska Chica'!C54</x:f>
        <x:v>No ambiguo</x:v>
      </x:c>
      <x:c r="J53" s="57" t="str">
        <x:f t="shared" si="4"/>
        <x:v>No ambiguo</x:v>
      </x:c>
      <x:c r="K53" s="64" t="str">
        <x:f t="shared" si="5"/>
        <x:v>3/3</x:v>
      </x:c>
    </x:row>
    <x:row r="54" ht="27.950000762939453" customHeight="1">
      <x:c r="A54" s="60" t="s">
        <x:v>156</x:v>
      </x:c>
      <x:c r="B54" s="43" t="s">
        <x:v>157</x:v>
      </x:c>
      <x:c r="C54" s="43" t="s">
        <x:v>78</x:v>
      </x:c>
      <x:c r="D54" s="61" t="s">
        <x:v>55</x:v>
      </x:c>
      <x:c r="E54" s="61" t="s">
        <x:v>79</x:v>
      </x:c>
      <x:c r="F54" s="62" t="str">
        <x:f t="shared" si="3"/>
        <x:v>Sí</x:v>
      </x:c>
      <x:c r="G54" s="57" t="str">
        <x:f>'Eval. Angélica Tenecela'!C55</x:f>
        <x:v>Ambiguo</x:v>
      </x:c>
      <x:c r="H54" s="57" t="str">
        <x:f>'Eval. Geovanny Ochoa'!C55</x:f>
        <x:v>Ambiguo</x:v>
      </x:c>
      <x:c r="I54" s="57" t="str">
        <x:f>'Eval. Valeska Chica'!C55</x:f>
        <x:v>Ambiguo</x:v>
      </x:c>
      <x:c r="J54" s="57" t="str">
        <x:f t="shared" si="4"/>
        <x:v>Ambiguo</x:v>
      </x:c>
      <x:c r="K54" s="64" t="str">
        <x:f t="shared" si="5"/>
        <x:v>3/3</x:v>
      </x:c>
    </x:row>
    <x:row r="55" ht="27.950000762939453" customHeight="1">
      <x:c r="A55" s="60" t="s">
        <x:v>158</x:v>
      </x:c>
      <x:c r="B55" s="43" t="s">
        <x:v>159</x:v>
      </x:c>
      <x:c r="C55" s="43" t="s">
        <x:v>54</x:v>
      </x:c>
      <x:c r="D55" s="61" t="s">
        <x:v>50</x:v>
      </x:c>
      <x:c r="E55" s="61" t="s">
        <x:v>51</x:v>
      </x:c>
      <x:c r="F55" s="62" t="str">
        <x:f t="shared" si="3"/>
        <x:v>Sí</x:v>
      </x:c>
      <x:c r="G55" s="57" t="str">
        <x:f>'Eval. Angélica Tenecela'!C56</x:f>
        <x:v>No ambiguo</x:v>
      </x:c>
      <x:c r="H55" s="57" t="str">
        <x:f>'Eval. Geovanny Ochoa'!C56</x:f>
        <x:v>No ambiguo</x:v>
      </x:c>
      <x:c r="I55" s="57" t="str">
        <x:f>'Eval. Valeska Chica'!C56</x:f>
        <x:v>No ambiguo</x:v>
      </x:c>
      <x:c r="J55" s="57" t="str">
        <x:f t="shared" si="4"/>
        <x:v>No ambiguo</x:v>
      </x:c>
      <x:c r="K55" s="64" t="str">
        <x:f t="shared" si="5"/>
        <x:v>3/3</x:v>
      </x:c>
    </x:row>
    <x:row r="56" ht="24" customHeight="1">
      <x:c r="A56" s="33" t="s">
        <x:v>160</x:v>
      </x:c>
      <x:c r="B56" s="25" t="s">
        <x:v>161</x:v>
      </x:c>
      <x:c r="C56" s="25" t="s">
        <x:v>49</x:v>
      </x:c>
      <x:c r="D56" s="22" t="s">
        <x:v>50</x:v>
      </x:c>
      <x:c r="E56" s="22" t="s">
        <x:v>51</x:v>
      </x:c>
      <x:c r="F56" s="22" t="str">
        <x:f t="shared" si="3"/>
        <x:v>Sí</x:v>
      </x:c>
      <x:c r="G56" s="36" t="str">
        <x:f>'Eval. Angélica Tenecela'!C57</x:f>
        <x:v>No ambiguo</x:v>
      </x:c>
      <x:c r="H56" s="36" t="str">
        <x:f>'Eval. Geovanny Ochoa'!C57</x:f>
        <x:v>No ambiguo</x:v>
      </x:c>
      <x:c r="I56" s="36" t="str">
        <x:f>'Eval. Valeska Chica'!C57</x:f>
        <x:v>No ambiguo</x:v>
      </x:c>
      <x:c r="J56" s="36" t="str">
        <x:f t="shared" si="4"/>
        <x:v>No ambiguo</x:v>
      </x:c>
      <x:c r="K56" s="37" t="str">
        <x:f t="shared" si="5"/>
        <x:v>3/3</x:v>
      </x:c>
    </x:row>
    <x:row r="57" ht="24" customHeight="1">
      <x:c r="A57" s="34" t="s">
        <x:v>162</x:v>
      </x:c>
      <x:c r="B57" s="26" t="s">
        <x:v>163</x:v>
      </x:c>
      <x:c r="C57" s="26" t="s">
        <x:v>54</x:v>
      </x:c>
      <x:c r="D57" s="23" t="s">
        <x:v>55</x:v>
      </x:c>
      <x:c r="E57" s="23" t="s">
        <x:v>56</x:v>
      </x:c>
      <x:c r="F57" s="23" t="str">
        <x:f t="shared" si="3"/>
        <x:v>No</x:v>
      </x:c>
      <x:c r="G57" s="28" t="str">
        <x:f>'Eval. Angélica Tenecela'!C58</x:f>
        <x:v>No ambiguo</x:v>
      </x:c>
      <x:c r="H57" s="28" t="str">
        <x:f>'Eval. Geovanny Ochoa'!C58</x:f>
        <x:v>No ambiguo</x:v>
      </x:c>
      <x:c r="I57" s="28" t="str">
        <x:f>'Eval. Valeska Chica'!C58</x:f>
        <x:v>No ambiguo</x:v>
      </x:c>
      <x:c r="J57" s="28" t="str">
        <x:f t="shared" si="4"/>
        <x:v>No ambiguo</x:v>
      </x:c>
      <x:c r="K57" s="37" t="str">
        <x:f t="shared" si="5"/>
        <x:v>3/3</x:v>
      </x:c>
    </x:row>
    <x:row r="58" ht="24" customHeight="1">
      <x:c r="A58" s="34" t="s">
        <x:v>164</x:v>
      </x:c>
      <x:c r="B58" s="26" t="s">
        <x:v>165</x:v>
      </x:c>
      <x:c r="C58" s="26" t="s">
        <x:v>54</x:v>
      </x:c>
      <x:c r="D58" s="23" t="s">
        <x:v>50</x:v>
      </x:c>
      <x:c r="E58" s="23" t="s">
        <x:v>51</x:v>
      </x:c>
      <x:c r="F58" s="23" t="str">
        <x:f t="shared" si="3"/>
        <x:v>Sí</x:v>
      </x:c>
      <x:c r="G58" s="28" t="str">
        <x:f>'Eval. Angélica Tenecela'!C59</x:f>
        <x:v>No ambiguo</x:v>
      </x:c>
      <x:c r="H58" s="28" t="str">
        <x:f>'Eval. Geovanny Ochoa'!C59</x:f>
        <x:v>No ambiguo</x:v>
      </x:c>
      <x:c r="I58" s="28" t="str">
        <x:f>'Eval. Valeska Chica'!C59</x:f>
        <x:v>No ambiguo</x:v>
      </x:c>
      <x:c r="J58" s="28" t="str">
        <x:f t="shared" si="4"/>
        <x:v>No ambiguo</x:v>
      </x:c>
      <x:c r="K58" s="37" t="str">
        <x:f t="shared" si="5"/>
        <x:v>3/3</x:v>
      </x:c>
    </x:row>
    <x:row r="59" ht="24" customHeight="1">
      <x:c r="A59" s="34" t="s">
        <x:v>166</x:v>
      </x:c>
      <x:c r="B59" s="26" t="s">
        <x:v>167</x:v>
      </x:c>
      <x:c r="C59" s="26" t="s">
        <x:v>49</x:v>
      </x:c>
      <x:c r="D59" s="23" t="s">
        <x:v>50</x:v>
      </x:c>
      <x:c r="E59" s="23" t="s">
        <x:v>51</x:v>
      </x:c>
      <x:c r="F59" s="23" t="str">
        <x:f t="shared" si="3"/>
        <x:v>Sí</x:v>
      </x:c>
      <x:c r="G59" s="29" t="str">
        <x:f>'Eval. Angélica Tenecela'!C60</x:f>
        <x:v>No ambiguo</x:v>
      </x:c>
      <x:c r="H59" s="29" t="str">
        <x:f>'Eval. Geovanny Ochoa'!C60</x:f>
        <x:v>No ambiguo</x:v>
      </x:c>
      <x:c r="I59" s="29" t="str">
        <x:f>'Eval. Valeska Chica'!C60</x:f>
        <x:v>No ambiguo</x:v>
      </x:c>
      <x:c r="J59" s="29" t="str">
        <x:f t="shared" si="4"/>
        <x:v>No ambiguo</x:v>
      </x:c>
      <x:c r="K59" s="38" t="str">
        <x:f t="shared" si="5"/>
        <x:v>3/3</x:v>
      </x:c>
    </x:row>
    <x:row r="60" ht="24" customHeight="1">
      <x:c r="A60" s="37" t="s">
        <x:v>168</x:v>
      </x:c>
      <x:c r="B60" s="28" t="s">
        <x:v>169</x:v>
      </x:c>
      <x:c r="C60" s="28" t="s">
        <x:v>49</x:v>
      </x:c>
      <x:c r="D60" s="39" t="s">
        <x:v>50</x:v>
      </x:c>
      <x:c r="E60" s="39" t="s">
        <x:v>51</x:v>
      </x:c>
      <x:c r="F60" s="39" t="str">
        <x:f t="shared" si="3"/>
        <x:v>No</x:v>
      </x:c>
      <x:c r="G60" s="28" t="str">
        <x:f>'Eval. Angélica Tenecela'!C61</x:f>
        <x:v>Ambiguo</x:v>
      </x:c>
      <x:c r="H60" s="28" t="str">
        <x:f>'Eval. Geovanny Ochoa'!C61</x:f>
        <x:v>No ambiguo</x:v>
      </x:c>
      <x:c r="I60" s="28" t="str">
        <x:f>'Eval. Valeska Chica'!C61</x:f>
        <x:v>Ambiguo</x:v>
      </x:c>
      <x:c r="J60" s="28" t="str">
        <x:f t="shared" si="4"/>
        <x:v>Ambiguo</x:v>
      </x:c>
      <x:c r="K60" s="37" t="str">
        <x:f t="shared" si="5"/>
        <x:v>2/3</x:v>
      </x:c>
    </x:row>
    <x:row r="61" ht="24" customHeight="1">
      <x:c r="A61" s="35" t="s">
        <x:v>170</x:v>
      </x:c>
      <x:c r="B61" s="27" t="s">
        <x:v>171</x:v>
      </x:c>
      <x:c r="C61" s="27" t="s">
        <x:v>49</x:v>
      </x:c>
      <x:c r="D61" s="24" t="s">
        <x:v>50</x:v>
      </x:c>
      <x:c r="E61" s="24" t="s">
        <x:v>51</x:v>
      </x:c>
      <x:c r="F61" s="24" t="str">
        <x:f t="shared" si="3"/>
        <x:v>Sí</x:v>
      </x:c>
      <x:c r="G61" s="27" t="str">
        <x:f>'Eval. Angélica Tenecela'!C62</x:f>
        <x:v>No ambiguo</x:v>
      </x:c>
      <x:c r="H61" s="27" t="str">
        <x:f>'Eval. Geovanny Ochoa'!C62</x:f>
        <x:v>No ambiguo</x:v>
      </x:c>
      <x:c r="I61" s="27" t="str">
        <x:f>'Eval. Valeska Chica'!C62</x:f>
        <x:v>No ambiguo</x:v>
      </x:c>
      <x:c r="J61" s="27" t="str">
        <x:f t="shared" si="4"/>
        <x:v>No ambiguo</x:v>
      </x:c>
      <x:c r="K61" s="35" t="str">
        <x:f t="shared" si="5"/>
        <x:v>3/3</x:v>
      </x:c>
    </x:row>
    <x:row r="62" ht="24" customHeight="1">
      <x:c r="A62" s="35" t="s">
        <x:v>172</x:v>
      </x:c>
      <x:c r="B62" s="27" t="s">
        <x:v>173</x:v>
      </x:c>
      <x:c r="C62" s="27" t="s">
        <x:v>78</x:v>
      </x:c>
      <x:c r="D62" s="24" t="s">
        <x:v>55</x:v>
      </x:c>
      <x:c r="E62" s="24" t="s">
        <x:v>79</x:v>
      </x:c>
      <x:c r="F62" s="24" t="str">
        <x:f t="shared" si="3"/>
        <x:v>Sí</x:v>
      </x:c>
      <x:c r="G62" s="27" t="str">
        <x:f>'Eval. Angélica Tenecela'!C63</x:f>
        <x:v>Ambiguo</x:v>
      </x:c>
      <x:c r="H62" s="27" t="str">
        <x:f>'Eval. Geovanny Ochoa'!C63</x:f>
        <x:v>Ambiguo</x:v>
      </x:c>
      <x:c r="I62" s="27" t="str">
        <x:f>'Eval. Valeska Chica'!C63</x:f>
        <x:v>Ambiguo</x:v>
      </x:c>
      <x:c r="J62" s="27" t="str">
        <x:f t="shared" si="4"/>
        <x:v>Ambiguo</x:v>
      </x:c>
      <x:c r="K62" s="35" t="str">
        <x:f t="shared" si="5"/>
        <x:v>3/3</x:v>
      </x:c>
    </x:row>
    <x:row r="63" ht="24" customHeight="1">
      <x:c r="A63" s="37" t="s">
        <x:v>174</x:v>
      </x:c>
      <x:c r="B63" s="28" t="s">
        <x:v>175</x:v>
      </x:c>
      <x:c r="C63" s="28" t="s">
        <x:v>78</x:v>
      </x:c>
      <x:c r="D63" s="39" t="s">
        <x:v>55</x:v>
      </x:c>
      <x:c r="E63" s="39" t="s">
        <x:v>79</x:v>
      </x:c>
      <x:c r="F63" s="39" t="str">
        <x:f t="shared" si="3"/>
        <x:v>Sí</x:v>
      </x:c>
      <x:c r="G63" s="28" t="str">
        <x:f>'Eval. Angélica Tenecela'!C64</x:f>
        <x:v>Ambiguo</x:v>
      </x:c>
      <x:c r="H63" s="28" t="str">
        <x:f>'Eval. Geovanny Ochoa'!C64</x:f>
        <x:v>Ambiguo</x:v>
      </x:c>
      <x:c r="I63" s="28" t="str">
        <x:f>'Eval. Valeska Chica'!C64</x:f>
        <x:v>Ambiguo</x:v>
      </x:c>
      <x:c r="J63" s="28" t="str">
        <x:f t="shared" si="4"/>
        <x:v>Ambiguo</x:v>
      </x:c>
      <x:c r="K63" s="37" t="str">
        <x:f t="shared" si="5"/>
        <x:v>3/3</x:v>
      </x:c>
    </x:row>
    <x:row r="64" ht="24" customHeight="1">
      <x:c r="A64" s="37" t="s">
        <x:v>176</x:v>
      </x:c>
      <x:c r="B64" s="28" t="s">
        <x:v>177</x:v>
      </x:c>
      <x:c r="C64" s="28" t="s">
        <x:v>78</x:v>
      </x:c>
      <x:c r="D64" s="39" t="s">
        <x:v>55</x:v>
      </x:c>
      <x:c r="E64" s="39" t="s">
        <x:v>79</x:v>
      </x:c>
      <x:c r="F64" s="39" t="str">
        <x:f t="shared" si="3"/>
        <x:v>Sí</x:v>
      </x:c>
      <x:c r="G64" s="28" t="str">
        <x:f>'Eval. Angélica Tenecela'!C65</x:f>
        <x:v>Ambiguo</x:v>
      </x:c>
      <x:c r="H64" s="28" t="str">
        <x:f>'Eval. Geovanny Ochoa'!C65</x:f>
        <x:v>Ambiguo</x:v>
      </x:c>
      <x:c r="I64" s="28" t="str">
        <x:f>'Eval. Valeska Chica'!C65</x:f>
        <x:v>Ambiguo</x:v>
      </x:c>
      <x:c r="J64" s="28" t="str">
        <x:f t="shared" si="4"/>
        <x:v>Ambiguo</x:v>
      </x:c>
      <x:c r="K64" s="37" t="str">
        <x:f t="shared" si="5"/>
        <x:v>3/3</x:v>
      </x:c>
    </x:row>
    <x:row r="65" ht="24" customHeight="1">
      <x:c r="A65" s="37" t="s">
        <x:v>178</x:v>
      </x:c>
      <x:c r="B65" s="36" t="s">
        <x:v>179</x:v>
      </x:c>
      <x:c r="C65" s="36" t="s">
        <x:v>78</x:v>
      </x:c>
      <x:c r="D65" s="40" t="s">
        <x:v>50</x:v>
      </x:c>
      <x:c r="E65" s="40" t="s">
        <x:v>51</x:v>
      </x:c>
      <x:c r="F65" s="40" t="str">
        <x:f t="shared" si="3"/>
        <x:v>Sí</x:v>
      </x:c>
      <x:c r="G65" s="36" t="str">
        <x:f>'Eval. Angélica Tenecela'!C66</x:f>
        <x:v>No ambiguo</x:v>
      </x:c>
      <x:c r="H65" s="36" t="str">
        <x:f>'Eval. Geovanny Ochoa'!C66</x:f>
        <x:v>No ambiguo</x:v>
      </x:c>
      <x:c r="I65" s="36" t="str">
        <x:f>'Eval. Valeska Chica'!C66</x:f>
        <x:v>No ambiguo</x:v>
      </x:c>
      <x:c r="J65" s="36" t="str">
        <x:f t="shared" si="4"/>
        <x:v>No ambiguo</x:v>
      </x:c>
      <x:c r="K65" s="37" t="str">
        <x:f t="shared" si="5"/>
        <x:v>3/3</x:v>
      </x:c>
    </x:row>
    <x:row r="67">
      <x:c r="A67" t="s">
        <x:v>180</x:v>
      </x:c>
    </x:row>
  </x:sheetData>
  <x:mergeCells>
    <x:mergeCell ref="A1:K1"/>
    <x:mergeCell ref="A2:K2"/>
  </x:mergeCells>
  <x:conditionalFormatting sqref="G5:J59">
    <x:cfRule type="expression" dxfId="19" priority="1">
      <x:formula>G5="Ambiguo"</x:formula>
    </x:cfRule>
    <x:cfRule type="expression" dxfId="18" priority="2">
      <x:formula>G5="No ambiguo"</x:formula>
    </x:cfRule>
  </x:conditionalFormatting>
  <x:conditionalFormatting sqref="K5:K59">
    <x:cfRule type="expression" dxfId="17" priority="3">
      <x:formula>K5="3/3"</x:formula>
    </x:cfRule>
    <x:cfRule type="expression" dxfId="16" priority="4">
      <x:formula>K5="2/3"</x:formula>
    </x:cfRule>
  </x:conditionalFormatting>
  <x:conditionalFormatting sqref="G5:J65">
    <x:cfRule type="expression" dxfId="15" priority="5">
      <x:formula>G5="No ambiguo"</x:formula>
    </x:cfRule>
    <x:cfRule type="expression" dxfId="14" priority="6">
      <x:formula>G5="Ambiguo"</x:formula>
    </x:cfRule>
  </x:conditionalFormatting>
  <x:conditionalFormatting sqref="K5:K65">
    <x:cfRule type="expression" dxfId="13" priority="7">
      <x:formula>K5="3/3"</x:formula>
    </x:cfRule>
    <x:cfRule type="expression" dxfId="12" priority="8">
      <x:formula>K5="2/3"</x:formula>
    </x:cfRule>
  </x:conditionalFormatting>
  <x:dataValidations count="5">
    <x:dataValidation type="list" allowBlank="1" sqref="C5:C59">
      <x:formula1>"RF,RNF,RD"</x:formula1>
    </x:dataValidation>
    <x:dataValidation type="list" allowBlank="1" sqref="D5:D59">
      <x:formula1>"Ambiguo,No ambiguo"</x:formula1>
    </x:dataValidation>
    <x:dataValidation type="list" allowBlank="1" sqref="F5:F59">
      <x:formula1>"Sí,No"</x:formula1>
    </x:dataValidation>
    <x:dataValidation type="list" sqref="D5:D65">
      <x:formula1>"Ambiguo,No ambiguo"</x:formula1>
    </x:dataValidation>
    <x:dataValidation type="list" sqref="E5:E65">
      <x:formula1>"Ninguna regla activada,Cuantificador vago / umbral insuficiente,Conjunción múltiple,Voz pasiva / sujeto ausente,Terminología imprecisa / verificabilidad,Terminología normativa imprecisa,Restricción de diseño incompleta"</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9.140625" defaultRowHeight="15"/>
  <x:cols>
    <x:col min="1" max="1" width="14" style="2" customWidth="1"/>
    <x:col min="2" max="2" width="64" style="2" customWidth="1"/>
    <x:col min="3" max="3" width="16" style="2" customWidth="1"/>
    <x:col min="4" max="4" width="29" style="2" customWidth="1"/>
    <x:col min="5" max="5" width="52" style="2" customWidth="1"/>
    <x:col min="6" max="6" width="13" style="2" customWidth="1"/>
    <x:col min="7" max="7" width="34" style="2" customWidth="1"/>
    <x:col min="8" max="8" width="14" style="2" customWidth="1"/>
    <x:col min="9" max="16384" width="9.140625" style="2" customWidth="0"/>
  </x:cols>
  <x:sheetData>
    <x:row r="1" ht="26.100000381469727" customHeight="1">
      <x:c r="A1" s="69" t="s">
        <x:v>181</x:v>
      </x:c>
      <x:c r="B1" s="69"/>
      <x:c r="C1" s="69"/>
      <x:c r="D1" s="69"/>
      <x:c r="E1" s="69"/>
      <x:c r="F1" s="69"/>
      <x:c r="G1" s="69"/>
      <x:c r="H1" s="69"/>
    </x:row>
    <x:row r="2" ht="21.950000762939453" customHeight="1">
      <x:c r="A2" s="68" t="s">
        <x:v>182</x:v>
      </x:c>
      <x:c r="B2" s="68"/>
      <x:c r="C2" s="68"/>
      <x:c r="D2" s="68"/>
      <x:c r="E2" s="68"/>
      <x:c r="F2" s="68"/>
      <x:c r="G2" s="68"/>
      <x:c r="H2" s="68"/>
    </x:row>
    <x:row r="4" ht="33.95000076293945" customHeight="1">
      <x:c r="A4" s="12" t="s">
        <x:v>36</x:v>
      </x:c>
      <x:c r="B4" s="12" t="s">
        <x:v>183</x:v>
      </x:c>
      <x:c r="C4" s="12" t="s">
        <x:v>184</x:v>
      </x:c>
      <x:c r="D4" s="12" t="s">
        <x:v>185</x:v>
      </x:c>
      <x:c r="E4" s="12" t="s">
        <x:v>186</x:v>
      </x:c>
      <x:c r="F4" s="12" t="s">
        <x:v>187</x:v>
      </x:c>
      <x:c r="G4" s="12" t="s">
        <x:v>188</x:v>
      </x:c>
      <x:c r="H4" s="12" t="s">
        <x:v>189</x:v>
      </x:c>
    </x:row>
    <x:row r="5" ht="81.94999694824219" customHeight="1">
      <x:c r="A5" s="13" t="s">
        <x:v>190</x:v>
      </x:c>
      <x:c r="B5" s="13" t="s">
        <x:v>191</x:v>
      </x:c>
      <x:c r="C5" s="13" t="s">
        <x:v>50</x:v>
      </x:c>
      <x:c r="D5" s="13" t="s">
        <x:v>192</x:v>
      </x:c>
      <x:c r="E5" s="13" t="s">
        <x:v>193</x:v>
      </x:c>
      <x:c r="F5" s="13">
        <x:v>5</x:v>
      </x:c>
      <x:c r="G5" s="13" t="s">
        <x:v>194</x:v>
      </x:c>
      <x:c r="H5" s="13" t="s">
        <x:v>195</x:v>
      </x:c>
    </x:row>
    <x:row r="6" ht="54.95000076293945" customHeight="1">
      <x:c r="A6" s="41" t="s">
        <x:v>47</x:v>
      </x:c>
      <x:c r="B6" s="42" t="s">
        <x:v>196</x:v>
      </x:c>
      <x:c r="C6" s="43" t="s">
        <x:v>50</x:v>
      </x:c>
      <x:c r="D6" s="43" t="s">
        <x:v>192</x:v>
      </x:c>
      <x:c r="E6" s="42" t="s">
        <x:v>197</x:v>
      </x:c>
      <x:c r="F6" s="43">
        <x:v>4</x:v>
      </x:c>
      <x:c r="G6" s="42" t="s">
        <x:v>198</x:v>
      </x:c>
      <x:c r="H6" s="73">
        <x:v>46265</x:v>
      </x:c>
    </x:row>
    <x:row r="7" ht="54.95000076293945" customHeight="1">
      <x:c r="A7" s="41" t="s">
        <x:v>52</x:v>
      </x:c>
      <x:c r="B7" s="42" t="s">
        <x:v>199</x:v>
      </x:c>
      <x:c r="C7" s="43" t="s">
        <x:v>50</x:v>
      </x:c>
      <x:c r="D7" s="43" t="s">
        <x:v>192</x:v>
      </x:c>
      <x:c r="E7" s="42" t="s">
        <x:v>200</x:v>
      </x:c>
      <x:c r="F7" s="43">
        <x:v>4</x:v>
      </x:c>
      <x:c r="G7" s="42" t="s">
        <x:v>198</x:v>
      </x:c>
      <x:c r="H7" s="43" t="s">
        <x:v>201</x:v>
      </x:c>
    </x:row>
    <x:row r="8" ht="54.95000076293945" customHeight="1">
      <x:c r="A8" s="41" t="s">
        <x:v>57</x:v>
      </x:c>
      <x:c r="B8" s="42" t="s">
        <x:v>202</x:v>
      </x:c>
      <x:c r="C8" s="43" t="s">
        <x:v>55</x:v>
      </x:c>
      <x:c r="D8" s="43" t="s">
        <x:v>30</x:v>
      </x:c>
      <x:c r="E8" s="42" t="s">
        <x:v>203</x:v>
      </x:c>
      <x:c r="F8" s="43">
        <x:v>4</x:v>
      </x:c>
      <x:c r="G8" s="42" t="s">
        <x:v>198</x:v>
      </x:c>
      <x:c r="H8" s="43" t="s">
        <x:v>201</x:v>
      </x:c>
    </x:row>
    <x:row r="9" ht="54.95000076293945" customHeight="1">
      <x:c r="A9" s="41" t="s">
        <x:v>60</x:v>
      </x:c>
      <x:c r="B9" s="42" t="s">
        <x:v>204</x:v>
      </x:c>
      <x:c r="C9" s="43" t="s">
        <x:v>50</x:v>
      </x:c>
      <x:c r="D9" s="43" t="s">
        <x:v>192</x:v>
      </x:c>
      <x:c r="E9" s="42" t="s">
        <x:v>205</x:v>
      </x:c>
      <x:c r="F9" s="43">
        <x:v>5</x:v>
      </x:c>
      <x:c r="G9" s="42" t="s">
        <x:v>198</x:v>
      </x:c>
      <x:c r="H9" s="43" t="s">
        <x:v>201</x:v>
      </x:c>
    </x:row>
    <x:row r="10" ht="69.94999694824219" customHeight="1">
      <x:c r="A10" s="41" t="s">
        <x:v>62</x:v>
      </x:c>
      <x:c r="B10" s="42" t="s">
        <x:v>206</x:v>
      </x:c>
      <x:c r="C10" s="43" t="s">
        <x:v>50</x:v>
      </x:c>
      <x:c r="D10" s="43" t="s">
        <x:v>192</x:v>
      </x:c>
      <x:c r="E10" s="42" t="s">
        <x:v>207</x:v>
      </x:c>
      <x:c r="F10" s="43">
        <x:v>5</x:v>
      </x:c>
      <x:c r="G10" s="42" t="s">
        <x:v>198</x:v>
      </x:c>
      <x:c r="H10" s="43" t="s">
        <x:v>201</x:v>
      </x:c>
    </x:row>
    <x:row r="11" ht="69.94999694824219" customHeight="1">
      <x:c r="A11" s="41" t="s">
        <x:v>66</x:v>
      </x:c>
      <x:c r="B11" s="42" t="s">
        <x:v>208</x:v>
      </x:c>
      <x:c r="C11" s="43" t="s">
        <x:v>50</x:v>
      </x:c>
      <x:c r="D11" s="43" t="s">
        <x:v>192</x:v>
      </x:c>
      <x:c r="E11" s="42" t="s">
        <x:v>205</x:v>
      </x:c>
      <x:c r="F11" s="43">
        <x:v>5</x:v>
      </x:c>
      <x:c r="G11" s="42" t="s">
        <x:v>198</x:v>
      </x:c>
      <x:c r="H11" s="43" t="s">
        <x:v>201</x:v>
      </x:c>
    </x:row>
    <x:row r="12" ht="69.94999694824219" customHeight="1">
      <x:c r="A12" s="41" t="s">
        <x:v>68</x:v>
      </x:c>
      <x:c r="B12" s="42" t="s">
        <x:v>209</x:v>
      </x:c>
      <x:c r="C12" s="43" t="s">
        <x:v>55</x:v>
      </x:c>
      <x:c r="D12" s="43" t="s">
        <x:v>27</x:v>
      </x:c>
      <x:c r="E12" s="42" t="s">
        <x:v>210</x:v>
      </x:c>
      <x:c r="F12" s="43">
        <x:v>4</x:v>
      </x:c>
      <x:c r="G12" s="42" t="s">
        <x:v>198</x:v>
      </x:c>
      <x:c r="H12" s="43" t="s">
        <x:v>211</x:v>
      </x:c>
    </x:row>
    <x:row r="13" ht="54.95000076293945" customHeight="1">
      <x:c r="A13" s="41" t="s">
        <x:v>70</x:v>
      </x:c>
      <x:c r="B13" s="42" t="s">
        <x:v>212</x:v>
      </x:c>
      <x:c r="C13" s="43" t="s">
        <x:v>50</x:v>
      </x:c>
      <x:c r="D13" s="43" t="s">
        <x:v>192</x:v>
      </x:c>
      <x:c r="E13" s="42" t="s">
        <x:v>213</x:v>
      </x:c>
      <x:c r="F13" s="43">
        <x:v>5</x:v>
      </x:c>
      <x:c r="G13" s="42" t="s">
        <x:v>198</x:v>
      </x:c>
      <x:c r="H13" s="43" t="s">
        <x:v>211</x:v>
      </x:c>
    </x:row>
    <x:row r="14" ht="54.95000076293945" customHeight="1">
      <x:c r="A14" s="41" t="s">
        <x:v>72</x:v>
      </x:c>
      <x:c r="B14" s="42" t="s">
        <x:v>214</x:v>
      </x:c>
      <x:c r="C14" s="43" t="s">
        <x:v>50</x:v>
      </x:c>
      <x:c r="D14" s="43" t="s">
        <x:v>192</x:v>
      </x:c>
      <x:c r="E14" s="42" t="s">
        <x:v>215</x:v>
      </x:c>
      <x:c r="F14" s="43">
        <x:v>5</x:v>
      </x:c>
      <x:c r="G14" s="42" t="s">
        <x:v>198</x:v>
      </x:c>
      <x:c r="H14" s="43" t="s">
        <x:v>211</x:v>
      </x:c>
    </x:row>
    <x:row r="15" ht="54.95000076293945" customHeight="1">
      <x:c r="A15" s="41" t="s">
        <x:v>74</x:v>
      </x:c>
      <x:c r="B15" s="42" t="s">
        <x:v>216</x:v>
      </x:c>
      <x:c r="C15" s="43" t="s">
        <x:v>50</x:v>
      </x:c>
      <x:c r="D15" s="43" t="s">
        <x:v>192</x:v>
      </x:c>
      <x:c r="E15" s="42" t="s">
        <x:v>217</x:v>
      </x:c>
      <x:c r="F15" s="43">
        <x:v>4</x:v>
      </x:c>
      <x:c r="G15" s="42" t="s">
        <x:v>198</x:v>
      </x:c>
      <x:c r="H15" s="43" t="s">
        <x:v>211</x:v>
      </x:c>
    </x:row>
    <x:row r="16" ht="54.95000076293945" customHeight="1">
      <x:c r="A16" s="41" t="s">
        <x:v>76</x:v>
      </x:c>
      <x:c r="B16" s="42" t="s">
        <x:v>218</x:v>
      </x:c>
      <x:c r="C16" s="43" t="s">
        <x:v>55</x:v>
      </x:c>
      <x:c r="D16" s="43" t="s">
        <x:v>21</x:v>
      </x:c>
      <x:c r="E16" s="42" t="s">
        <x:v>219</x:v>
      </x:c>
      <x:c r="F16" s="43">
        <x:v>4</x:v>
      </x:c>
      <x:c r="G16" s="42" t="s">
        <x:v>198</x:v>
      </x:c>
      <x:c r="H16" s="43" t="s">
        <x:v>201</x:v>
      </x:c>
    </x:row>
    <x:row r="17" ht="69.94999694824219" customHeight="1">
      <x:c r="A17" s="41" t="s">
        <x:v>80</x:v>
      </x:c>
      <x:c r="B17" s="42" t="s">
        <x:v>220</x:v>
      </x:c>
      <x:c r="C17" s="43" t="s">
        <x:v>50</x:v>
      </x:c>
      <x:c r="D17" s="43" t="s">
        <x:v>192</x:v>
      </x:c>
      <x:c r="E17" s="42" t="s">
        <x:v>221</x:v>
      </x:c>
      <x:c r="F17" s="43">
        <x:v>4</x:v>
      </x:c>
      <x:c r="G17" s="42" t="s">
        <x:v>198</x:v>
      </x:c>
      <x:c r="H17" s="43" t="s">
        <x:v>211</x:v>
      </x:c>
    </x:row>
    <x:row r="18" ht="69.94999694824219" customHeight="1">
      <x:c r="A18" s="41" t="s">
        <x:v>82</x:v>
      </x:c>
      <x:c r="B18" s="42" t="s">
        <x:v>222</x:v>
      </x:c>
      <x:c r="C18" s="43" t="s">
        <x:v>50</x:v>
      </x:c>
      <x:c r="D18" s="43" t="s">
        <x:v>192</x:v>
      </x:c>
      <x:c r="E18" s="42" t="s">
        <x:v>205</x:v>
      </x:c>
      <x:c r="F18" s="43">
        <x:v>5</x:v>
      </x:c>
      <x:c r="G18" s="42" t="s">
        <x:v>198</x:v>
      </x:c>
      <x:c r="H18" s="43" t="s">
        <x:v>201</x:v>
      </x:c>
    </x:row>
    <x:row r="19" ht="54.95000076293945" customHeight="1">
      <x:c r="A19" s="41" t="s">
        <x:v>84</x:v>
      </x:c>
      <x:c r="B19" s="42" t="s">
        <x:v>223</x:v>
      </x:c>
      <x:c r="C19" s="43" t="s">
        <x:v>50</x:v>
      </x:c>
      <x:c r="D19" s="43" t="s">
        <x:v>192</x:v>
      </x:c>
      <x:c r="E19" s="42" t="s">
        <x:v>224</x:v>
      </x:c>
      <x:c r="F19" s="43">
        <x:v>5</x:v>
      </x:c>
      <x:c r="G19" s="42" t="s">
        <x:v>198</x:v>
      </x:c>
      <x:c r="H19" s="43" t="s">
        <x:v>201</x:v>
      </x:c>
    </x:row>
    <x:row r="20" ht="54.95000076293945" customHeight="1">
      <x:c r="A20" s="41" t="s">
        <x:v>86</x:v>
      </x:c>
      <x:c r="B20" s="42" t="s">
        <x:v>225</x:v>
      </x:c>
      <x:c r="C20" s="43" t="s">
        <x:v>50</x:v>
      </x:c>
      <x:c r="D20" s="43" t="s">
        <x:v>192</x:v>
      </x:c>
      <x:c r="E20" s="42" t="s">
        <x:v>224</x:v>
      </x:c>
      <x:c r="F20" s="43">
        <x:v>5</x:v>
      </x:c>
      <x:c r="G20" s="42" t="s">
        <x:v>198</x:v>
      </x:c>
      <x:c r="H20" s="43" t="s">
        <x:v>201</x:v>
      </x:c>
    </x:row>
    <x:row r="21" ht="54.95000076293945" customHeight="1">
      <x:c r="A21" s="41" t="s">
        <x:v>88</x:v>
      </x:c>
      <x:c r="B21" s="42" t="s">
        <x:v>226</x:v>
      </x:c>
      <x:c r="C21" s="43" t="s">
        <x:v>50</x:v>
      </x:c>
      <x:c r="D21" s="43" t="s">
        <x:v>192</x:v>
      </x:c>
      <x:c r="E21" s="42" t="s">
        <x:v>224</x:v>
      </x:c>
      <x:c r="F21" s="43">
        <x:v>5</x:v>
      </x:c>
      <x:c r="G21" s="42" t="s">
        <x:v>198</x:v>
      </x:c>
      <x:c r="H21" s="43" t="s">
        <x:v>201</x:v>
      </x:c>
    </x:row>
    <x:row r="22" ht="54.95000076293945" customHeight="1">
      <x:c r="A22" s="41" t="s">
        <x:v>90</x:v>
      </x:c>
      <x:c r="B22" s="42" t="s">
        <x:v>227</x:v>
      </x:c>
      <x:c r="C22" s="43" t="s">
        <x:v>50</x:v>
      </x:c>
      <x:c r="D22" s="43" t="s">
        <x:v>192</x:v>
      </x:c>
      <x:c r="E22" s="42" t="s">
        <x:v>228</x:v>
      </x:c>
      <x:c r="F22" s="43">
        <x:v>5</x:v>
      </x:c>
      <x:c r="G22" s="42" t="s">
        <x:v>198</x:v>
      </x:c>
      <x:c r="H22" s="43" t="s">
        <x:v>211</x:v>
      </x:c>
    </x:row>
    <x:row r="23" ht="69.94999694824219" customHeight="1">
      <x:c r="A23" s="41" t="s">
        <x:v>92</x:v>
      </x:c>
      <x:c r="B23" s="42" t="s">
        <x:v>229</x:v>
      </x:c>
      <x:c r="C23" s="43" t="s">
        <x:v>55</x:v>
      </x:c>
      <x:c r="D23" s="43" t="s">
        <x:v>30</x:v>
      </x:c>
      <x:c r="E23" s="42" t="s">
        <x:v>230</x:v>
      </x:c>
      <x:c r="F23" s="43">
        <x:v>4</x:v>
      </x:c>
      <x:c r="G23" s="42" t="s">
        <x:v>198</x:v>
      </x:c>
      <x:c r="H23" s="43" t="s">
        <x:v>201</x:v>
      </x:c>
    </x:row>
    <x:row r="24" ht="54.95000076293945" customHeight="1">
      <x:c r="A24" s="41" t="s">
        <x:v>94</x:v>
      </x:c>
      <x:c r="B24" s="42" t="s">
        <x:v>231</x:v>
      </x:c>
      <x:c r="C24" s="43" t="s">
        <x:v>50</x:v>
      </x:c>
      <x:c r="D24" s="43" t="s">
        <x:v>192</x:v>
      </x:c>
      <x:c r="E24" s="42" t="s">
        <x:v>232</x:v>
      </x:c>
      <x:c r="F24" s="43">
        <x:v>5</x:v>
      </x:c>
      <x:c r="G24" s="42" t="s">
        <x:v>198</x:v>
      </x:c>
      <x:c r="H24" s="43" t="s">
        <x:v>201</x:v>
      </x:c>
    </x:row>
    <x:row r="25" ht="69.94999694824219" customHeight="1">
      <x:c r="A25" s="41" t="s">
        <x:v>96</x:v>
      </x:c>
      <x:c r="B25" s="42" t="s">
        <x:v>233</x:v>
      </x:c>
      <x:c r="C25" s="43" t="s">
        <x:v>50</x:v>
      </x:c>
      <x:c r="D25" s="43" t="s">
        <x:v>192</x:v>
      </x:c>
      <x:c r="E25" s="42" t="s">
        <x:v>234</x:v>
      </x:c>
      <x:c r="F25" s="43">
        <x:v>5</x:v>
      </x:c>
      <x:c r="G25" s="42" t="s">
        <x:v>198</x:v>
      </x:c>
      <x:c r="H25" s="43" t="s">
        <x:v>211</x:v>
      </x:c>
    </x:row>
    <x:row r="26" ht="54.95000076293945" customHeight="1">
      <x:c r="A26" s="41" t="s">
        <x:v>98</x:v>
      </x:c>
      <x:c r="B26" s="42" t="s">
        <x:v>235</x:v>
      </x:c>
      <x:c r="C26" s="43" t="s">
        <x:v>55</x:v>
      </x:c>
      <x:c r="D26" s="43" t="s">
        <x:v>18</x:v>
      </x:c>
      <x:c r="E26" s="42" t="s">
        <x:v>236</x:v>
      </x:c>
      <x:c r="F26" s="43">
        <x:v>4</x:v>
      </x:c>
      <x:c r="G26" s="42" t="s">
        <x:v>198</x:v>
      </x:c>
      <x:c r="H26" s="43" t="s">
        <x:v>201</x:v>
      </x:c>
    </x:row>
    <x:row r="27" ht="54.95000076293945" customHeight="1">
      <x:c r="A27" s="41" t="s">
        <x:v>100</x:v>
      </x:c>
      <x:c r="B27" s="42" t="s">
        <x:v>237</x:v>
      </x:c>
      <x:c r="C27" s="43" t="s">
        <x:v>50</x:v>
      </x:c>
      <x:c r="D27" s="43" t="s">
        <x:v>192</x:v>
      </x:c>
      <x:c r="E27" s="42" t="s">
        <x:v>238</x:v>
      </x:c>
      <x:c r="F27" s="43">
        <x:v>4</x:v>
      </x:c>
      <x:c r="G27" s="42" t="s">
        <x:v>198</x:v>
      </x:c>
      <x:c r="H27" s="43" t="s">
        <x:v>211</x:v>
      </x:c>
    </x:row>
    <x:row r="28" ht="54.95000076293945" customHeight="1">
      <x:c r="A28" s="41" t="s">
        <x:v>102</x:v>
      </x:c>
      <x:c r="B28" s="42" t="s">
        <x:v>239</x:v>
      </x:c>
      <x:c r="C28" s="43" t="s">
        <x:v>50</x:v>
      </x:c>
      <x:c r="D28" s="43" t="s">
        <x:v>192</x:v>
      </x:c>
      <x:c r="E28" s="42" t="s">
        <x:v>240</x:v>
      </x:c>
      <x:c r="F28" s="43">
        <x:v>4</x:v>
      </x:c>
      <x:c r="G28" s="42" t="s">
        <x:v>198</x:v>
      </x:c>
      <x:c r="H28" s="43" t="s">
        <x:v>211</x:v>
      </x:c>
    </x:row>
    <x:row r="29" ht="69.94999694824219" customHeight="1">
      <x:c r="A29" s="41" t="s">
        <x:v>104</x:v>
      </x:c>
      <x:c r="B29" s="42" t="s">
        <x:v>241</x:v>
      </x:c>
      <x:c r="C29" s="43" t="s">
        <x:v>50</x:v>
      </x:c>
      <x:c r="D29" s="43" t="s">
        <x:v>192</x:v>
      </x:c>
      <x:c r="E29" s="42" t="s">
        <x:v>242</x:v>
      </x:c>
      <x:c r="F29" s="43">
        <x:v>5</x:v>
      </x:c>
      <x:c r="G29" s="42" t="s">
        <x:v>198</x:v>
      </x:c>
      <x:c r="H29" s="43" t="s">
        <x:v>211</x:v>
      </x:c>
    </x:row>
    <x:row r="30" ht="69.94999694824219" customHeight="1">
      <x:c r="A30" s="41" t="s">
        <x:v>106</x:v>
      </x:c>
      <x:c r="B30" s="42" t="s">
        <x:v>243</x:v>
      </x:c>
      <x:c r="C30" s="43" t="s">
        <x:v>50</x:v>
      </x:c>
      <x:c r="D30" s="43" t="s">
        <x:v>192</x:v>
      </x:c>
      <x:c r="E30" s="42" t="s">
        <x:v>244</x:v>
      </x:c>
      <x:c r="F30" s="43">
        <x:v>5</x:v>
      </x:c>
      <x:c r="G30" s="42" t="s">
        <x:v>198</x:v>
      </x:c>
      <x:c r="H30" s="43" t="s">
        <x:v>211</x:v>
      </x:c>
    </x:row>
    <x:row r="31" ht="54.95000076293945" customHeight="1">
      <x:c r="A31" s="41" t="s">
        <x:v>108</x:v>
      </x:c>
      <x:c r="B31" s="42" t="s">
        <x:v>245</x:v>
      </x:c>
      <x:c r="C31" s="43" t="s">
        <x:v>55</x:v>
      </x:c>
      <x:c r="D31" s="43" t="s">
        <x:v>27</x:v>
      </x:c>
      <x:c r="E31" s="42" t="s">
        <x:v>246</x:v>
      </x:c>
      <x:c r="F31" s="43">
        <x:v>4</x:v>
      </x:c>
      <x:c r="G31" s="42" t="s">
        <x:v>198</x:v>
      </x:c>
      <x:c r="H31" s="43" t="s">
        <x:v>201</x:v>
      </x:c>
    </x:row>
    <x:row r="32" ht="54.95000076293945" customHeight="1">
      <x:c r="A32" s="41" t="s">
        <x:v>110</x:v>
      </x:c>
      <x:c r="B32" s="42" t="s">
        <x:v>247</x:v>
      </x:c>
      <x:c r="C32" s="43" t="s">
        <x:v>50</x:v>
      </x:c>
      <x:c r="D32" s="43" t="s">
        <x:v>192</x:v>
      </x:c>
      <x:c r="E32" s="42" t="s">
        <x:v>224</x:v>
      </x:c>
      <x:c r="F32" s="43">
        <x:v>5</x:v>
      </x:c>
      <x:c r="G32" s="42" t="s">
        <x:v>198</x:v>
      </x:c>
      <x:c r="H32" s="43" t="s">
        <x:v>201</x:v>
      </x:c>
    </x:row>
    <x:row r="33" ht="54.95000076293945" customHeight="1">
      <x:c r="A33" s="41" t="s">
        <x:v>112</x:v>
      </x:c>
      <x:c r="B33" s="42" t="s">
        <x:v>248</x:v>
      </x:c>
      <x:c r="C33" s="43" t="s">
        <x:v>50</x:v>
      </x:c>
      <x:c r="D33" s="43" t="s">
        <x:v>192</x:v>
      </x:c>
      <x:c r="E33" s="42" t="s">
        <x:v>232</x:v>
      </x:c>
      <x:c r="F33" s="43">
        <x:v>5</x:v>
      </x:c>
      <x:c r="G33" s="42" t="s">
        <x:v>198</x:v>
      </x:c>
      <x:c r="H33" s="43" t="s">
        <x:v>201</x:v>
      </x:c>
    </x:row>
    <x:row r="34" ht="54.95000076293945" customHeight="1">
      <x:c r="A34" s="41" t="s">
        <x:v>114</x:v>
      </x:c>
      <x:c r="B34" s="42" t="s">
        <x:v>249</x:v>
      </x:c>
      <x:c r="C34" s="43" t="s">
        <x:v>50</x:v>
      </x:c>
      <x:c r="D34" s="43" t="s">
        <x:v>192</x:v>
      </x:c>
      <x:c r="E34" s="42" t="s">
        <x:v>250</x:v>
      </x:c>
      <x:c r="F34" s="43">
        <x:v>4</x:v>
      </x:c>
      <x:c r="G34" s="42" t="s">
        <x:v>198</x:v>
      </x:c>
      <x:c r="H34" s="43" t="s">
        <x:v>211</x:v>
      </x:c>
    </x:row>
    <x:row r="35" ht="54.95000076293945" customHeight="1">
      <x:c r="A35" s="41" t="s">
        <x:v>116</x:v>
      </x:c>
      <x:c r="B35" s="42" t="s">
        <x:v>251</x:v>
      </x:c>
      <x:c r="C35" s="43" t="s">
        <x:v>50</x:v>
      </x:c>
      <x:c r="D35" s="43" t="s">
        <x:v>192</x:v>
      </x:c>
      <x:c r="E35" s="42" t="s">
        <x:v>252</x:v>
      </x:c>
      <x:c r="F35" s="43">
        <x:v>4</x:v>
      </x:c>
      <x:c r="G35" s="42" t="s">
        <x:v>198</x:v>
      </x:c>
      <x:c r="H35" s="43" t="s">
        <x:v>211</x:v>
      </x:c>
    </x:row>
    <x:row r="36" ht="48" customHeight="1">
      <x:c r="A36" s="41" t="s">
        <x:v>118</x:v>
      </x:c>
      <x:c r="B36" s="42" t="s">
        <x:v>253</x:v>
      </x:c>
      <x:c r="C36" s="43" t="s">
        <x:v>50</x:v>
      </x:c>
      <x:c r="D36" s="43" t="s">
        <x:v>192</x:v>
      </x:c>
      <x:c r="E36" s="42" t="s">
        <x:v>207</x:v>
      </x:c>
      <x:c r="F36" s="43">
        <x:v>5</x:v>
      </x:c>
      <x:c r="G36" s="42" t="s">
        <x:v>198</x:v>
      </x:c>
      <x:c r="H36" s="43" t="s">
        <x:v>201</x:v>
      </x:c>
    </x:row>
    <x:row r="37" ht="54.95000076293945" customHeight="1">
      <x:c r="A37" s="41" t="s">
        <x:v>120</x:v>
      </x:c>
      <x:c r="B37" s="42" t="s">
        <x:v>191</x:v>
      </x:c>
      <x:c r="C37" s="43" t="s">
        <x:v>50</x:v>
      </x:c>
      <x:c r="D37" s="43" t="s">
        <x:v>192</x:v>
      </x:c>
      <x:c r="E37" s="42" t="s">
        <x:v>224</x:v>
      </x:c>
      <x:c r="F37" s="43">
        <x:v>5</x:v>
      </x:c>
      <x:c r="G37" s="42" t="s">
        <x:v>198</x:v>
      </x:c>
      <x:c r="H37" s="43" t="s">
        <x:v>201</x:v>
      </x:c>
    </x:row>
    <x:row r="38" ht="54.95000076293945" customHeight="1">
      <x:c r="A38" s="41" t="s">
        <x:v>122</x:v>
      </x:c>
      <x:c r="B38" s="42" t="s">
        <x:v>254</x:v>
      </x:c>
      <x:c r="C38" s="43" t="s">
        <x:v>55</x:v>
      </x:c>
      <x:c r="D38" s="43" t="s">
        <x:v>27</x:v>
      </x:c>
      <x:c r="E38" s="42" t="s">
        <x:v>255</x:v>
      </x:c>
      <x:c r="F38" s="43">
        <x:v>4</x:v>
      </x:c>
      <x:c r="G38" s="42" t="s">
        <x:v>198</x:v>
      </x:c>
      <x:c r="H38" s="43" t="s">
        <x:v>201</x:v>
      </x:c>
    </x:row>
    <x:row r="39" ht="54.95000076293945" customHeight="1">
      <x:c r="A39" s="41" t="s">
        <x:v>124</x:v>
      </x:c>
      <x:c r="B39" s="42" t="s">
        <x:v>256</x:v>
      </x:c>
      <x:c r="C39" s="43" t="s">
        <x:v>50</x:v>
      </x:c>
      <x:c r="D39" s="43" t="s">
        <x:v>192</x:v>
      </x:c>
      <x:c r="E39" s="42" t="s">
        <x:v>257</x:v>
      </x:c>
      <x:c r="F39" s="43">
        <x:v>5</x:v>
      </x:c>
      <x:c r="G39" s="42" t="s">
        <x:v>198</x:v>
      </x:c>
      <x:c r="H39" s="43" t="s">
        <x:v>211</x:v>
      </x:c>
    </x:row>
    <x:row r="40" ht="54.95000076293945" customHeight="1">
      <x:c r="A40" s="41" t="s">
        <x:v>126</x:v>
      </x:c>
      <x:c r="B40" s="42" t="s">
        <x:v>258</x:v>
      </x:c>
      <x:c r="C40" s="43" t="s">
        <x:v>50</x:v>
      </x:c>
      <x:c r="D40" s="43" t="s">
        <x:v>192</x:v>
      </x:c>
      <x:c r="E40" s="42" t="s">
        <x:v>259</x:v>
      </x:c>
      <x:c r="F40" s="43">
        <x:v>4</x:v>
      </x:c>
      <x:c r="G40" s="42" t="s">
        <x:v>198</x:v>
      </x:c>
      <x:c r="H40" s="43" t="s">
        <x:v>211</x:v>
      </x:c>
    </x:row>
    <x:row r="41" ht="54.95000076293945" customHeight="1">
      <x:c r="A41" s="41" t="s">
        <x:v>128</x:v>
      </x:c>
      <x:c r="B41" s="42" t="s">
        <x:v>260</x:v>
      </x:c>
      <x:c r="C41" s="43" t="s">
        <x:v>50</x:v>
      </x:c>
      <x:c r="D41" s="43" t="s">
        <x:v>192</x:v>
      </x:c>
      <x:c r="E41" s="42" t="s">
        <x:v>224</x:v>
      </x:c>
      <x:c r="F41" s="43">
        <x:v>5</x:v>
      </x:c>
      <x:c r="G41" s="42" t="s">
        <x:v>198</x:v>
      </x:c>
      <x:c r="H41" s="43" t="s">
        <x:v>201</x:v>
      </x:c>
    </x:row>
    <x:row r="42" ht="69.94999694824219" customHeight="1">
      <x:c r="A42" s="41" t="s">
        <x:v>130</x:v>
      </x:c>
      <x:c r="B42" s="42" t="s">
        <x:v>261</x:v>
      </x:c>
      <x:c r="C42" s="43" t="s">
        <x:v>50</x:v>
      </x:c>
      <x:c r="D42" s="43" t="s">
        <x:v>192</x:v>
      </x:c>
      <x:c r="E42" s="42" t="s">
        <x:v>262</x:v>
      </x:c>
      <x:c r="F42" s="43">
        <x:v>4</x:v>
      </x:c>
      <x:c r="G42" s="42" t="s">
        <x:v>198</x:v>
      </x:c>
      <x:c r="H42" s="43" t="s">
        <x:v>201</x:v>
      </x:c>
    </x:row>
    <x:row r="43" ht="69.94999694824219" customHeight="1">
      <x:c r="A43" s="41" t="s">
        <x:v>132</x:v>
      </x:c>
      <x:c r="B43" s="42" t="s">
        <x:v>263</x:v>
      </x:c>
      <x:c r="C43" s="43" t="s">
        <x:v>50</x:v>
      </x:c>
      <x:c r="D43" s="43" t="s">
        <x:v>192</x:v>
      </x:c>
      <x:c r="E43" s="42" t="s">
        <x:v>224</x:v>
      </x:c>
      <x:c r="F43" s="43">
        <x:v>5</x:v>
      </x:c>
      <x:c r="G43" s="42" t="s">
        <x:v>198</x:v>
      </x:c>
      <x:c r="H43" s="43" t="s">
        <x:v>201</x:v>
      </x:c>
    </x:row>
    <x:row r="44" ht="54.95000076293945" customHeight="1">
      <x:c r="A44" s="41" t="s">
        <x:v>134</x:v>
      </x:c>
      <x:c r="B44" s="42" t="s">
        <x:v>264</x:v>
      </x:c>
      <x:c r="C44" s="43" t="s">
        <x:v>50</x:v>
      </x:c>
      <x:c r="D44" s="43" t="s">
        <x:v>192</x:v>
      </x:c>
      <x:c r="E44" s="42" t="s">
        <x:v>265</x:v>
      </x:c>
      <x:c r="F44" s="43">
        <x:v>4</x:v>
      </x:c>
      <x:c r="G44" s="42" t="s">
        <x:v>198</x:v>
      </x:c>
      <x:c r="H44" s="43" t="s">
        <x:v>211</x:v>
      </x:c>
    </x:row>
    <x:row r="45" ht="54.95000076293945" customHeight="1">
      <x:c r="A45" s="41" t="s">
        <x:v>136</x:v>
      </x:c>
      <x:c r="B45" s="42" t="s">
        <x:v>266</x:v>
      </x:c>
      <x:c r="C45" s="43" t="s">
        <x:v>50</x:v>
      </x:c>
      <x:c r="D45" s="43" t="s">
        <x:v>192</x:v>
      </x:c>
      <x:c r="E45" s="42" t="s">
        <x:v>267</x:v>
      </x:c>
      <x:c r="F45" s="43">
        <x:v>4</x:v>
      </x:c>
      <x:c r="G45" s="42" t="s">
        <x:v>198</x:v>
      </x:c>
      <x:c r="H45" s="43" t="s">
        <x:v>211</x:v>
      </x:c>
    </x:row>
    <x:row r="46" ht="54.95000076293945" customHeight="1">
      <x:c r="A46" s="41" t="s">
        <x:v>138</x:v>
      </x:c>
      <x:c r="B46" s="42" t="s">
        <x:v>268</x:v>
      </x:c>
      <x:c r="C46" s="43" t="s">
        <x:v>50</x:v>
      </x:c>
      <x:c r="D46" s="43" t="s">
        <x:v>192</x:v>
      </x:c>
      <x:c r="E46" s="42" t="s">
        <x:v>224</x:v>
      </x:c>
      <x:c r="F46" s="43">
        <x:v>5</x:v>
      </x:c>
      <x:c r="G46" s="42" t="s">
        <x:v>198</x:v>
      </x:c>
      <x:c r="H46" s="43" t="s">
        <x:v>201</x:v>
      </x:c>
    </x:row>
    <x:row r="47" ht="54.95000076293945" customHeight="1">
      <x:c r="A47" s="41" t="s">
        <x:v>140</x:v>
      </x:c>
      <x:c r="B47" s="42" t="s">
        <x:v>269</x:v>
      </x:c>
      <x:c r="C47" s="43" t="s">
        <x:v>55</x:v>
      </x:c>
      <x:c r="D47" s="43" t="s">
        <x:v>21</x:v>
      </x:c>
      <x:c r="E47" s="42" t="s">
        <x:v>270</x:v>
      </x:c>
      <x:c r="F47" s="43">
        <x:v>4</x:v>
      </x:c>
      <x:c r="G47" s="42" t="s">
        <x:v>198</x:v>
      </x:c>
      <x:c r="H47" s="43" t="s">
        <x:v>201</x:v>
      </x:c>
    </x:row>
    <x:row r="48" ht="54.95000076293945" customHeight="1">
      <x:c r="A48" s="41" t="s">
        <x:v>142</x:v>
      </x:c>
      <x:c r="B48" s="42" t="s">
        <x:v>271</x:v>
      </x:c>
      <x:c r="C48" s="43" t="s">
        <x:v>55</x:v>
      </x:c>
      <x:c r="D48" s="43" t="s">
        <x:v>18</x:v>
      </x:c>
      <x:c r="E48" s="42" t="s">
        <x:v>272</x:v>
      </x:c>
      <x:c r="F48" s="43">
        <x:v>4</x:v>
      </x:c>
      <x:c r="G48" s="42" t="s">
        <x:v>198</x:v>
      </x:c>
      <x:c r="H48" s="43" t="s">
        <x:v>201</x:v>
      </x:c>
    </x:row>
    <x:row r="49" ht="54.95000076293945" customHeight="1">
      <x:c r="A49" s="41" t="s">
        <x:v>144</x:v>
      </x:c>
      <x:c r="B49" s="42" t="s">
        <x:v>273</x:v>
      </x:c>
      <x:c r="C49" s="43" t="s">
        <x:v>50</x:v>
      </x:c>
      <x:c r="D49" s="43" t="s">
        <x:v>192</x:v>
      </x:c>
      <x:c r="E49" s="42" t="s">
        <x:v>207</x:v>
      </x:c>
      <x:c r="F49" s="43">
        <x:v>5</x:v>
      </x:c>
      <x:c r="G49" s="42" t="s">
        <x:v>198</x:v>
      </x:c>
      <x:c r="H49" s="43" t="s">
        <x:v>201</x:v>
      </x:c>
    </x:row>
    <x:row r="50" ht="54.95000076293945" customHeight="1">
      <x:c r="A50" s="41" t="s">
        <x:v>146</x:v>
      </x:c>
      <x:c r="B50" s="42" t="s">
        <x:v>274</x:v>
      </x:c>
      <x:c r="C50" s="43" t="s">
        <x:v>50</x:v>
      </x:c>
      <x:c r="D50" s="43" t="s">
        <x:v>192</x:v>
      </x:c>
      <x:c r="E50" s="42" t="s">
        <x:v>232</x:v>
      </x:c>
      <x:c r="F50" s="43">
        <x:v>5</x:v>
      </x:c>
      <x:c r="G50" s="42" t="s">
        <x:v>198</x:v>
      </x:c>
      <x:c r="H50" s="43" t="s">
        <x:v>201</x:v>
      </x:c>
    </x:row>
    <x:row r="51" ht="54.95000076293945" customHeight="1">
      <x:c r="A51" s="41" t="s">
        <x:v>148</x:v>
      </x:c>
      <x:c r="B51" s="42" t="s">
        <x:v>275</x:v>
      </x:c>
      <x:c r="C51" s="43" t="s">
        <x:v>55</x:v>
      </x:c>
      <x:c r="D51" s="43" t="s">
        <x:v>18</x:v>
      </x:c>
      <x:c r="E51" s="42" t="s">
        <x:v>276</x:v>
      </x:c>
      <x:c r="F51" s="43">
        <x:v>4</x:v>
      </x:c>
      <x:c r="G51" s="42" t="s">
        <x:v>198</x:v>
      </x:c>
      <x:c r="H51" s="43" t="s">
        <x:v>201</x:v>
      </x:c>
    </x:row>
    <x:row r="52" ht="54.95000076293945" customHeight="1">
      <x:c r="A52" s="41" t="s">
        <x:v>150</x:v>
      </x:c>
      <x:c r="B52" s="42" t="s">
        <x:v>277</x:v>
      </x:c>
      <x:c r="C52" s="43" t="s">
        <x:v>50</x:v>
      </x:c>
      <x:c r="D52" s="43" t="s">
        <x:v>192</x:v>
      </x:c>
      <x:c r="E52" s="42" t="s">
        <x:v>205</x:v>
      </x:c>
      <x:c r="F52" s="43">
        <x:v>5</x:v>
      </x:c>
      <x:c r="G52" s="42" t="s">
        <x:v>198</x:v>
      </x:c>
      <x:c r="H52" s="43" t="s">
        <x:v>201</x:v>
      </x:c>
    </x:row>
    <x:row r="53" ht="48" customHeight="1">
      <x:c r="A53" s="41" t="s">
        <x:v>152</x:v>
      </x:c>
      <x:c r="B53" s="42" t="s">
        <x:v>278</x:v>
      </x:c>
      <x:c r="C53" s="43" t="s">
        <x:v>55</x:v>
      </x:c>
      <x:c r="D53" s="43" t="s">
        <x:v>30</x:v>
      </x:c>
      <x:c r="E53" s="42" t="s">
        <x:v>279</x:v>
      </x:c>
      <x:c r="F53" s="43">
        <x:v>4</x:v>
      </x:c>
      <x:c r="G53" s="42" t="s">
        <x:v>198</x:v>
      </x:c>
      <x:c r="H53" s="43" t="s">
        <x:v>201</x:v>
      </x:c>
    </x:row>
    <x:row r="54" ht="69.94999694824219" customHeight="1">
      <x:c r="A54" s="41" t="s">
        <x:v>154</x:v>
      </x:c>
      <x:c r="B54" s="42" t="s">
        <x:v>280</x:v>
      </x:c>
      <x:c r="C54" s="43" t="s">
        <x:v>50</x:v>
      </x:c>
      <x:c r="D54" s="43" t="s">
        <x:v>192</x:v>
      </x:c>
      <x:c r="E54" s="42" t="s">
        <x:v>205</x:v>
      </x:c>
      <x:c r="F54" s="43">
        <x:v>5</x:v>
      </x:c>
      <x:c r="G54" s="42" t="s">
        <x:v>198</x:v>
      </x:c>
      <x:c r="H54" s="43" t="s">
        <x:v>201</x:v>
      </x:c>
    </x:row>
    <x:row r="55" ht="54.95000076293945" customHeight="1">
      <x:c r="A55" s="41" t="s">
        <x:v>156</x:v>
      </x:c>
      <x:c r="B55" s="42" t="s">
        <x:v>281</x:v>
      </x:c>
      <x:c r="C55" s="43" t="s">
        <x:v>55</x:v>
      </x:c>
      <x:c r="D55" s="43" t="s">
        <x:v>18</x:v>
      </x:c>
      <x:c r="E55" s="42" t="s">
        <x:v>282</x:v>
      </x:c>
      <x:c r="F55" s="43">
        <x:v>4</x:v>
      </x:c>
      <x:c r="G55" s="42" t="s">
        <x:v>198</x:v>
      </x:c>
      <x:c r="H55" s="43" t="s">
        <x:v>201</x:v>
      </x:c>
    </x:row>
    <x:row r="56" ht="69.94999694824219" customHeight="1">
      <x:c r="A56" s="41" t="s">
        <x:v>158</x:v>
      </x:c>
      <x:c r="B56" s="42" t="s">
        <x:v>283</x:v>
      </x:c>
      <x:c r="C56" s="43" t="s">
        <x:v>50</x:v>
      </x:c>
      <x:c r="D56" s="43" t="s">
        <x:v>192</x:v>
      </x:c>
      <x:c r="E56" s="42" t="s">
        <x:v>205</x:v>
      </x:c>
      <x:c r="F56" s="43">
        <x:v>5</x:v>
      </x:c>
      <x:c r="G56" s="42" t="s">
        <x:v>198</x:v>
      </x:c>
      <x:c r="H56" s="43" t="s">
        <x:v>201</x:v>
      </x:c>
    </x:row>
    <x:row r="57" ht="62.099998474121094" customHeight="1">
      <x:c r="A57" s="44" t="s">
        <x:v>160</x:v>
      </x:c>
      <x:c r="B57" s="45" t="s">
        <x:v>284</x:v>
      </x:c>
      <x:c r="C57" s="25" t="s">
        <x:v>50</x:v>
      </x:c>
      <x:c r="D57" s="25" t="s">
        <x:v>192</x:v>
      </x:c>
      <x:c r="E57" s="45" t="s">
        <x:v>285</x:v>
      </x:c>
      <x:c r="F57" s="25">
        <x:v>5</x:v>
      </x:c>
      <x:c r="G57" s="25" t="s">
        <x:v>198</x:v>
      </x:c>
      <x:c r="H57" s="46" t="s">
        <x:v>211</x:v>
      </x:c>
    </x:row>
    <x:row r="58" ht="62.099998474121094" customHeight="1">
      <x:c r="A58" s="47" t="s">
        <x:v>162</x:v>
      </x:c>
      <x:c r="B58" s="48" t="s">
        <x:v>286</x:v>
      </x:c>
      <x:c r="C58" s="26" t="s">
        <x:v>50</x:v>
      </x:c>
      <x:c r="D58" s="26" t="s">
        <x:v>192</x:v>
      </x:c>
      <x:c r="E58" s="48" t="s">
        <x:v>287</x:v>
      </x:c>
      <x:c r="F58" s="26">
        <x:v>5</x:v>
      </x:c>
      <x:c r="G58" s="26" t="s">
        <x:v>198</x:v>
      </x:c>
      <x:c r="H58" s="49" t="s">
        <x:v>211</x:v>
      </x:c>
    </x:row>
    <x:row r="59" ht="62.099998474121094" customHeight="1">
      <x:c r="A59" s="47" t="s">
        <x:v>164</x:v>
      </x:c>
      <x:c r="B59" s="48" t="s">
        <x:v>288</x:v>
      </x:c>
      <x:c r="C59" s="26" t="s">
        <x:v>50</x:v>
      </x:c>
      <x:c r="D59" s="26" t="s">
        <x:v>192</x:v>
      </x:c>
      <x:c r="E59" s="48" t="s">
        <x:v>289</x:v>
      </x:c>
      <x:c r="F59" s="26">
        <x:v>5</x:v>
      </x:c>
      <x:c r="G59" s="26" t="s">
        <x:v>198</x:v>
      </x:c>
      <x:c r="H59" s="49" t="s">
        <x:v>211</x:v>
      </x:c>
    </x:row>
    <x:row r="60" ht="62.099998474121094" customHeight="1">
      <x:c r="A60" s="47" t="s">
        <x:v>166</x:v>
      </x:c>
      <x:c r="B60" s="48" t="s">
        <x:v>290</x:v>
      </x:c>
      <x:c r="C60" s="26" t="s">
        <x:v>50</x:v>
      </x:c>
      <x:c r="D60" s="26" t="s">
        <x:v>192</x:v>
      </x:c>
      <x:c r="E60" s="48" t="s">
        <x:v>291</x:v>
      </x:c>
      <x:c r="F60" s="26">
        <x:v>5</x:v>
      </x:c>
      <x:c r="G60" s="26" t="s">
        <x:v>198</x:v>
      </x:c>
      <x:c r="H60" s="49" t="s">
        <x:v>211</x:v>
      </x:c>
    </x:row>
    <x:row r="61" ht="62.099998474121094" customHeight="1">
      <x:c r="A61" s="36" t="s">
        <x:v>168</x:v>
      </x:c>
      <x:c r="B61" s="32" t="s">
        <x:v>292</x:v>
      </x:c>
      <x:c r="C61" s="28" t="s">
        <x:v>55</x:v>
      </x:c>
      <x:c r="D61" s="28" t="s">
        <x:v>27</x:v>
      </x:c>
      <x:c r="E61" s="32" t="s">
        <x:v>293</x:v>
      </x:c>
      <x:c r="F61" s="28">
        <x:v>4</x:v>
      </x:c>
      <x:c r="G61" s="28" t="s">
        <x:v>198</x:v>
      </x:c>
      <x:c r="H61" s="36" t="s">
        <x:v>211</x:v>
      </x:c>
    </x:row>
    <x:row r="62" ht="62.099998474121094" customHeight="1">
      <x:c r="A62" s="36" t="s">
        <x:v>170</x:v>
      </x:c>
      <x:c r="B62" s="32" t="s">
        <x:v>294</x:v>
      </x:c>
      <x:c r="C62" s="28" t="s">
        <x:v>50</x:v>
      </x:c>
      <x:c r="D62" s="28" t="s">
        <x:v>192</x:v>
      </x:c>
      <x:c r="E62" s="32" t="s">
        <x:v>295</x:v>
      </x:c>
      <x:c r="F62" s="28">
        <x:v>5</x:v>
      </x:c>
      <x:c r="G62" s="28" t="s">
        <x:v>198</x:v>
      </x:c>
      <x:c r="H62" s="36" t="s">
        <x:v>211</x:v>
      </x:c>
    </x:row>
    <x:row r="63" ht="62.099998474121094" customHeight="1">
      <x:c r="A63" s="36" t="s">
        <x:v>172</x:v>
      </x:c>
      <x:c r="B63" s="32" t="s">
        <x:v>296</x:v>
      </x:c>
      <x:c r="C63" s="28" t="s">
        <x:v>55</x:v>
      </x:c>
      <x:c r="D63" s="28" t="s">
        <x:v>27</x:v>
      </x:c>
      <x:c r="E63" s="32" t="s">
        <x:v>297</x:v>
      </x:c>
      <x:c r="F63" s="28">
        <x:v>4</x:v>
      </x:c>
      <x:c r="G63" s="28" t="s">
        <x:v>198</x:v>
      </x:c>
      <x:c r="H63" s="36" t="s">
        <x:v>211</x:v>
      </x:c>
    </x:row>
    <x:row r="64" ht="62.099998474121094" customHeight="1">
      <x:c r="A64" s="27" t="s">
        <x:v>174</x:v>
      </x:c>
      <x:c r="B64" s="31" t="s">
        <x:v>298</x:v>
      </x:c>
      <x:c r="C64" s="27" t="s">
        <x:v>55</x:v>
      </x:c>
      <x:c r="D64" s="27" t="s">
        <x:v>27</x:v>
      </x:c>
      <x:c r="E64" s="31" t="s">
        <x:v>299</x:v>
      </x:c>
      <x:c r="F64" s="27">
        <x:v>4</x:v>
      </x:c>
      <x:c r="G64" s="27" t="s">
        <x:v>198</x:v>
      </x:c>
      <x:c r="H64" s="27" t="s">
        <x:v>211</x:v>
      </x:c>
    </x:row>
    <x:row r="65" ht="62.099998474121094" customHeight="1">
      <x:c r="A65" s="27" t="s">
        <x:v>176</x:v>
      </x:c>
      <x:c r="B65" s="31" t="s">
        <x:v>300</x:v>
      </x:c>
      <x:c r="C65" s="27" t="s">
        <x:v>55</x:v>
      </x:c>
      <x:c r="D65" s="27" t="s">
        <x:v>18</x:v>
      </x:c>
      <x:c r="E65" s="31" t="s">
        <x:v>301</x:v>
      </x:c>
      <x:c r="F65" s="27">
        <x:v>4</x:v>
      </x:c>
      <x:c r="G65" s="27" t="s">
        <x:v>198</x:v>
      </x:c>
      <x:c r="H65" s="50" t="s">
        <x:v>211</x:v>
      </x:c>
    </x:row>
    <x:row r="66" ht="62.099998474121094" customHeight="1">
      <x:c r="A66" s="36" t="s">
        <x:v>178</x:v>
      </x:c>
      <x:c r="B66" s="30" t="s">
        <x:v>302</x:v>
      </x:c>
      <x:c r="C66" s="36" t="s">
        <x:v>50</x:v>
      </x:c>
      <x:c r="D66" s="36" t="s">
        <x:v>192</x:v>
      </x:c>
      <x:c r="E66" s="30" t="s">
        <x:v>303</x:v>
      </x:c>
      <x:c r="F66" s="36">
        <x:v>5</x:v>
      </x:c>
      <x:c r="G66" s="36" t="s">
        <x:v>198</x:v>
      </x:c>
      <x:c r="H66" s="36" t="s">
        <x:v>211</x:v>
      </x:c>
    </x:row>
    <x:row r="67" ht="42" customHeight="1">
      <x:c r="A67" s="70"/>
      <x:c r="B67" s="71"/>
      <x:c r="C67" s="71"/>
      <x:c r="D67" s="71"/>
      <x:c r="E67" s="71"/>
      <x:c r="F67" s="71"/>
      <x:c r="G67" s="71"/>
      <x:c r="H67" s="72"/>
    </x:row>
    <x:row r="68">
      <x:c r="A68"/>
    </x:row>
    <x:row r="70">
      <x:c r="A70" t="s">
        <x:v>304</x:v>
      </x:c>
    </x:row>
    <x:row r="71">
      <x:c r="A71" t="s">
        <x:v>305</x:v>
      </x:c>
      <x:c r="B71">
        <x:v>61</x:v>
      </x:c>
      <x:c r="C71" t="s">
        <x:v>306</x:v>
      </x:c>
      <x:c r="D71" s="21" t="s">
        <x:v>306</x:v>
      </x:c>
      <x:c r="E71" s="21">
        <x:v>61</x:v>
      </x:c>
      <x:c r="F71" s="21">
        <x:v>0</x:v>
      </x:c>
      <x:c r="G71" t="s">
        <x:v>307</x:v>
      </x:c>
      <x:c r="H71" t="n">
        <x:f>IFERROR(SUM(F6:F66)/COUNT(F6:F66),0)</x:f>
        <x:v>4.540983606557377</x:v>
      </x:c>
    </x:row>
    <x:row r="72">
      <x:c r="D72" s="21" t="s">
        <x:v>308</x:v>
      </x:c>
      <x:c r="E72" s="21">
        <x:v>1</x:v>
      </x:c>
      <x:c r="F72" s="21" t="s">
        <x:v>309</x:v>
      </x:c>
    </x:row>
    <x:row r="73">
      <x:c r="A73"/>
    </x:row>
  </x:sheetData>
  <x:mergeCells>
    <x:mergeCell ref="A1:H1"/>
    <x:mergeCell ref="A2:H2"/>
    <x:mergeCell ref="A67:H67"/>
  </x:mergeCells>
  <x:conditionalFormatting sqref="C6:C60">
    <x:cfRule type="expression" dxfId="11" priority="1">
      <x:formula>C6="Ambiguo"</x:formula>
    </x:cfRule>
    <x:cfRule type="expression" dxfId="10" priority="2">
      <x:formula>C6="No ambiguo"</x:formula>
    </x:cfRule>
  </x:conditionalFormatting>
  <x:conditionalFormatting sqref="C6:C66">
    <x:cfRule type="expression" dxfId="9" priority="3">
      <x:formula>C6="No ambiguo"</x:formula>
    </x:cfRule>
    <x:cfRule type="expression" dxfId="8" priority="4">
      <x:formula>C6="Ambiguo"</x:formula>
    </x:cfRule>
  </x:conditionalFormatting>
  <x:dataValidations count="6">
    <x:dataValidation type="list" allowBlank="1" errorTitle="Valor no válido" error="Seleccione Ambiguo o No ambiguo de la lista." sqref="C6:C60">
      <x:formula1>"Ambiguo,No ambiguo"</x:formula1>
    </x:dataValidation>
    <x:dataValidation type="list" allowBlank="1" sqref="D6:D60">
      <x:formula1>"Ninguno,Cuantificador vago,Conjunción múltiple,Voz pasiva / sujeto ausente,Terminología imprecisa,Requisito no verificable / incompleto,Otro"</x:formula1>
    </x:dataValidation>
    <x:dataValidation type="whole" allowBlank="1" error="Ingrese un valor entero entre 1 y 5." sqref="F6:F60">
      <x:formula1>1</x:formula1>
      <x:formula2>5</x:formula2>
    </x:dataValidation>
    <x:dataValidation type="list" sqref="C6:C66">
      <x:formula1>"Ambiguo,No ambiguo"</x:formula1>
    </x:dataValidation>
    <x:dataValidation type="list" sqref="D6:D66">
      <x:formula1>"Ninguno,Cuantificador vago,Conjunción múltiple,Voz pasiva / sujeto ausente,Terminología imprecisa,Requisito no verificable / incompleto"</x:formula1>
    </x:dataValidation>
    <x:dataValidation type="list" sqref="F6:F66">
      <x:formula1>"1,2,3,4,5"</x:formula1>
    </x:dataValidation>
  </x:dataValidations>
  <x:pageMargins left="0.7" right="0.7" top="0.75" bottom="0.75" header="0.3" footer="0.3"/>
</x:worksheet>
</file>

<file path=xl/worksheets/sheet5.xml><?xml version="1.0" encoding="utf-8"?>
<x:worksheet xmlns:x="http://schemas.openxmlformats.org/spreadsheetml/2006/main">
  <x:sheetFormatPr baseColWidth="10" defaultColWidth="9.140625" defaultRowHeight="15"/>
  <x:cols>
    <x:col min="1" max="1" width="14" customWidth="1"/>
    <x:col min="2" max="2" width="64" customWidth="1"/>
    <x:col min="3" max="3" width="16" customWidth="1"/>
    <x:col min="4" max="4" width="29" customWidth="1"/>
    <x:col min="5" max="5" width="52" customWidth="1"/>
    <x:col min="6" max="6" width="13" customWidth="1"/>
    <x:col min="7" max="7" width="34" customWidth="1"/>
    <x:col min="8" max="8" width="14" customWidth="1"/>
  </x:cols>
  <x:sheetData>
    <x:row r="1" ht="26.100000381469727" customHeight="1">
      <x:c r="A1" s="69" t="s">
        <x:v>181</x:v>
      </x:c>
      <x:c r="B1" s="69"/>
      <x:c r="C1" s="69"/>
      <x:c r="D1" s="69"/>
      <x:c r="E1" s="69"/>
      <x:c r="F1" s="69"/>
      <x:c r="G1" s="69"/>
      <x:c r="H1" s="69"/>
    </x:row>
    <x:row r="2" ht="21.950000762939453" customHeight="1">
      <x:c r="A2" s="68" t="s">
        <x:v>310</x:v>
      </x:c>
      <x:c r="B2" s="68"/>
      <x:c r="C2" s="68"/>
      <x:c r="D2" s="68"/>
      <x:c r="E2" s="68"/>
      <x:c r="F2" s="68"/>
      <x:c r="G2" s="68"/>
      <x:c r="H2" s="68"/>
    </x:row>
    <x:row r="4" ht="33.95000076293945" customHeight="1">
      <x:c r="A4" s="14" t="s">
        <x:v>36</x:v>
      </x:c>
      <x:c r="B4" s="15" t="s">
        <x:v>183</x:v>
      </x:c>
      <x:c r="C4" s="15" t="s">
        <x:v>184</x:v>
      </x:c>
      <x:c r="D4" s="15" t="s">
        <x:v>185</x:v>
      </x:c>
      <x:c r="E4" s="15" t="s">
        <x:v>186</x:v>
      </x:c>
      <x:c r="F4" s="15" t="s">
        <x:v>187</x:v>
      </x:c>
      <x:c r="G4" s="15" t="s">
        <x:v>188</x:v>
      </x:c>
      <x:c r="H4" s="16" t="s">
        <x:v>189</x:v>
      </x:c>
    </x:row>
    <x:row r="5" ht="81.94999694824219" customHeight="1">
      <x:c r="A5" s="17" t="s">
        <x:v>190</x:v>
      </x:c>
      <x:c r="B5" s="18" t="s">
        <x:v>191</x:v>
      </x:c>
      <x:c r="C5" s="18" t="s">
        <x:v>50</x:v>
      </x:c>
      <x:c r="D5" s="18" t="s">
        <x:v>192</x:v>
      </x:c>
      <x:c r="E5" s="18" t="s">
        <x:v>193</x:v>
      </x:c>
      <x:c r="F5" s="18">
        <x:v>5</x:v>
      </x:c>
      <x:c r="G5" s="18" t="s">
        <x:v>194</x:v>
      </x:c>
      <x:c r="H5" s="19" t="s">
        <x:v>195</x:v>
      </x:c>
    </x:row>
    <x:row r="6" ht="54.95000076293945" customHeight="1">
      <x:c r="A6" s="51" t="s">
        <x:v>47</x:v>
      </x:c>
      <x:c r="B6" s="52" t="s">
        <x:v>196</x:v>
      </x:c>
      <x:c r="C6" s="53" t="s">
        <x:v>50</x:v>
      </x:c>
      <x:c r="D6" s="53" t="s">
        <x:v>192</x:v>
      </x:c>
      <x:c r="E6" s="52" t="str">
        <x:v>La redacción contiene actor, acción y condiciones suficientes para plantear una verificación objetiva.</x:v>
      </x:c>
      <x:c r="F6" s="53">
        <x:v>4</x:v>
      </x:c>
      <x:c r="G6" s="52" t="s">
        <x:v>311</x:v>
      </x:c>
      <x:c r="H6" s="54" t="s">
        <x:v>211</x:v>
      </x:c>
    </x:row>
    <x:row r="7" ht="54.95000076293945" customHeight="1">
      <x:c r="A7" s="55" t="s">
        <x:v>52</x:v>
      </x:c>
      <x:c r="B7" s="56" t="s">
        <x:v>199</x:v>
      </x:c>
      <x:c r="C7" s="57" t="s">
        <x:v>50</x:v>
      </x:c>
      <x:c r="D7" s="57" t="s">
        <x:v>192</x:v>
      </x:c>
      <x:c r="E7" s="56" t="str">
        <x:v>La integración, el canal y la condición de no duplicación ni pérdida están expresados y pueden verificarse mediante pruebas de envío.</x:v>
      </x:c>
      <x:c r="F7" s="57">
        <x:v>4</x:v>
      </x:c>
      <x:c r="G7" s="56" t="s">
        <x:v>311</x:v>
      </x:c>
      <x:c r="H7" s="58" t="s">
        <x:v>201</x:v>
      </x:c>
    </x:row>
    <x:row r="8" ht="54.95000076293945" customHeight="1">
      <x:c r="A8" s="55" t="s">
        <x:v>57</x:v>
      </x:c>
      <x:c r="B8" s="56" t="s">
        <x:v>202</x:v>
      </x:c>
      <x:c r="C8" s="57" t="s">
        <x:v>55</x:v>
      </x:c>
      <x:c r="D8" s="57" t="s">
        <x:v>30</x:v>
      </x:c>
      <x:c r="E8" s="56" t="str">
        <x:v>En este caso, enumera factores de compatibilidad, pero no define el método, la escala ni el resultado mínimo esperado para comprobar la evaluación.</x:v>
      </x:c>
      <x:c r="F8" s="57">
        <x:v>4</x:v>
      </x:c>
      <x:c r="G8" s="56" t="s">
        <x:v>311</x:v>
      </x:c>
      <x:c r="H8" s="58" t="s">
        <x:v>201</x:v>
      </x:c>
    </x:row>
    <x:row r="9" ht="54.95000076293945" customHeight="1">
      <x:c r="A9" s="55" t="s">
        <x:v>60</x:v>
      </x:c>
      <x:c r="B9" s="56" t="s">
        <x:v>204</x:v>
      </x:c>
      <x:c r="C9" s="57" t="s">
        <x:v>50</x:v>
      </x:c>
      <x:c r="D9" s="57" t="s">
        <x:v>192</x:v>
      </x:c>
      <x:c r="E9" s="56" t="str">
        <x:v>Incluye una métrica, umbral, plataforma o condición objetiva que permite comprobar su cumplimiento.</x:v>
      </x:c>
      <x:c r="F9" s="57">
        <x:v>5</x:v>
      </x:c>
      <x:c r="G9" s="56" t="s">
        <x:v>311</x:v>
      </x:c>
      <x:c r="H9" s="58" t="s">
        <x:v>201</x:v>
      </x:c>
    </x:row>
    <x:row r="10" ht="69.94999694824219" customHeight="1">
      <x:c r="A10" s="55" t="s">
        <x:v>62</x:v>
      </x:c>
      <x:c r="B10" s="56" t="s">
        <x:v>206</x:v>
      </x:c>
      <x:c r="C10" s="57" t="s">
        <x:v>50</x:v>
      </x:c>
      <x:c r="D10" s="57" t="s">
        <x:v>192</x:v>
      </x:c>
      <x:c r="E10" s="56" t="str">
        <x:v>La restricción técnica u organizativa establece un mecanismo, tecnología o condición concreta aplicable al diseño.</x:v>
      </x:c>
      <x:c r="F10" s="57">
        <x:v>5</x:v>
      </x:c>
      <x:c r="G10" s="56" t="s">
        <x:v>311</x:v>
      </x:c>
      <x:c r="H10" s="58" t="s">
        <x:v>201</x:v>
      </x:c>
    </x:row>
    <x:row r="11" ht="69.94999694824219" customHeight="1">
      <x:c r="A11" s="55" t="s">
        <x:v>66</x:v>
      </x:c>
      <x:c r="B11" s="56" t="s">
        <x:v>208</x:v>
      </x:c>
      <x:c r="C11" s="57" t="s">
        <x:v>50</x:v>
      </x:c>
      <x:c r="D11" s="57" t="s">
        <x:v>192</x:v>
      </x:c>
      <x:c r="E11" s="56" t="str">
        <x:v>Incluye una métrica, umbral, plataforma o condición objetiva que permite comprobar su cumplimiento.</x:v>
      </x:c>
      <x:c r="F11" s="57">
        <x:v>5</x:v>
      </x:c>
      <x:c r="G11" s="56" t="s">
        <x:v>311</x:v>
      </x:c>
      <x:c r="H11" s="58" t="s">
        <x:v>201</x:v>
      </x:c>
    </x:row>
    <x:row r="12" ht="69.94999694824219" customHeight="1">
      <x:c r="A12" s="55" t="s">
        <x:v>68</x:v>
      </x:c>
      <x:c r="B12" s="56" t="s">
        <x:v>209</x:v>
      </x:c>
      <x:c r="C12" s="57" t="s">
        <x:v>55</x:v>
      </x:c>
      <x:c r="D12" s="57" t="s">
        <x:v>27</x:v>
      </x:c>
      <x:c r="E12" s="56" t="str">
        <x:v>La revisión muestra que «Corresponda visualmente a una mascota» y «contenido ofensivo» admiten criterios de interpretación distintos si no se operacionalizan.</x:v>
      </x:c>
      <x:c r="F12" s="57">
        <x:v>4</x:v>
      </x:c>
      <x:c r="G12" s="56" t="s">
        <x:v>311</x:v>
      </x:c>
      <x:c r="H12" s="58" t="s">
        <x:v>211</x:v>
      </x:c>
    </x:row>
    <x:row r="13" ht="54.95000076293945" customHeight="1">
      <x:c r="A13" s="55" t="s">
        <x:v>70</x:v>
      </x:c>
      <x:c r="B13" s="56" t="s">
        <x:v>212</x:v>
      </x:c>
      <x:c r="C13" s="57" t="s">
        <x:v>50</x:v>
      </x:c>
      <x:c r="D13" s="57" t="s">
        <x:v>192</x:v>
      </x:c>
      <x:c r="E13" s="56" t="str">
        <x:v>El enunciado define el documento requerido, su vigencia y la condición previa para habilitar adopción o cruza.</x:v>
      </x:c>
      <x:c r="F13" s="57">
        <x:v>5</x:v>
      </x:c>
      <x:c r="G13" s="56" t="s">
        <x:v>311</x:v>
      </x:c>
      <x:c r="H13" s="58" t="s">
        <x:v>211</x:v>
      </x:c>
    </x:row>
    <x:row r="14" ht="54.95000076293945" customHeight="1">
      <x:c r="A14" s="55" t="s">
        <x:v>72</x:v>
      </x:c>
      <x:c r="B14" s="56" t="s">
        <x:v>214</x:v>
      </x:c>
      <x:c r="C14" s="57" t="s">
        <x:v>50</x:v>
      </x:c>
      <x:c r="D14" s="57" t="s">
        <x:v>192</x:v>
      </x:c>
      <x:c r="E14" s="56" t="str">
        <x:v>Según el análisis, fija tiempo máximo, percentil, carga nominal y delimita expresamente el entorno donde debe medirse.</x:v>
      </x:c>
      <x:c r="F14" s="57">
        <x:v>5</x:v>
      </x:c>
      <x:c r="G14" s="56" t="s">
        <x:v>311</x:v>
      </x:c>
      <x:c r="H14" s="58" t="s">
        <x:v>211</x:v>
      </x:c>
    </x:row>
    <x:row r="15" ht="54.95000076293945" customHeight="1">
      <x:c r="A15" s="55" t="s">
        <x:v>74</x:v>
      </x:c>
      <x:c r="B15" s="56" t="s">
        <x:v>216</x:v>
      </x:c>
      <x:c r="C15" s="57" t="s">
        <x:v>50</x:v>
      </x:c>
      <x:c r="D15" s="57" t="s">
        <x:v>192</x:v>
      </x:c>
      <x:c r="E15" s="56" t="str">
        <x:v>En este requisito, especifica navegadores, versiones y los dos tipos de pantalla sobre los que debe comprobarse la adaptación.</x:v>
      </x:c>
      <x:c r="F15" s="57">
        <x:v>4</x:v>
      </x:c>
      <x:c r="G15" s="56" t="s">
        <x:v>311</x:v>
      </x:c>
      <x:c r="H15" s="58" t="s">
        <x:v>211</x:v>
      </x:c>
    </x:row>
    <x:row r="16" ht="54.95000076293945" customHeight="1">
      <x:c r="A16" s="55" t="s">
        <x:v>76</x:v>
      </x:c>
      <x:c r="B16" s="56" t="s">
        <x:v>218</x:v>
      </x:c>
      <x:c r="C16" s="57" t="s">
        <x:v>50</x:v>
      </x:c>
      <x:c r="D16" s="57" t="s">
        <x:v>192</x:v>
      </x:c>
      <x:c r="E16" s="56" t="str">
        <x:v>La obligación identifica la información que debe comunicarse y fija un plazo de 15 días para el derecho de acceso.</x:v>
      </x:c>
      <x:c r="F16" s="57">
        <x:v>3</x:v>
      </x:c>
      <x:c r="G16" s="56" t="s">
        <x:v>311</x:v>
      </x:c>
      <x:c r="H16" s="58" t="s">
        <x:v>201</x:v>
      </x:c>
    </x:row>
    <x:row r="17" ht="69.94999694824219" customHeight="1">
      <x:c r="A17" s="55" t="s">
        <x:v>80</x:v>
      </x:c>
      <x:c r="B17" s="56" t="s">
        <x:v>220</x:v>
      </x:c>
      <x:c r="C17" s="57" t="s">
        <x:v>50</x:v>
      </x:c>
      <x:c r="D17" s="57" t="s">
        <x:v>192</x:v>
      </x:c>
      <x:c r="E17" s="56" t="str">
        <x:v>El enunciado define el disparador, destinatario, categorías del motivo y forma de explicación que debe producir el sistema.</x:v>
      </x:c>
      <x:c r="F17" s="57">
        <x:v>4</x:v>
      </x:c>
      <x:c r="G17" s="56" t="s">
        <x:v>311</x:v>
      </x:c>
      <x:c r="H17" s="58" t="s">
        <x:v>211</x:v>
      </x:c>
    </x:row>
    <x:row r="18" ht="69.94999694824219" customHeight="1">
      <x:c r="A18" s="55" t="s">
        <x:v>82</x:v>
      </x:c>
      <x:c r="B18" s="56" t="s">
        <x:v>222</x:v>
      </x:c>
      <x:c r="C18" s="57" t="s">
        <x:v>50</x:v>
      </x:c>
      <x:c r="D18" s="57" t="s">
        <x:v>192</x:v>
      </x:c>
      <x:c r="E18" s="56" t="str">
        <x:v>Incluye una métrica, umbral, plataforma o condición objetiva que permite comprobar su cumplimiento.</x:v>
      </x:c>
      <x:c r="F18" s="57">
        <x:v>5</x:v>
      </x:c>
      <x:c r="G18" s="56" t="s">
        <x:v>311</x:v>
      </x:c>
      <x:c r="H18" s="58" t="s">
        <x:v>201</x:v>
      </x:c>
    </x:row>
    <x:row r="19" ht="54.95000076293945" customHeight="1">
      <x:c r="A19" s="55" t="s">
        <x:v>84</x:v>
      </x:c>
      <x:c r="B19" s="56" t="s">
        <x:v>223</x:v>
      </x:c>
      <x:c r="C19" s="57" t="s">
        <x:v>50</x:v>
      </x:c>
      <x:c r="D19" s="57" t="s">
        <x:v>192</x:v>
      </x:c>
      <x:c r="E19" s="56" t="str">
        <x:v>La función, los datos o condiciones principales y el resultado esperado están suficientemente delimitados para diseñar una prueba funcional.</x:v>
      </x:c>
      <x:c r="F19" s="57">
        <x:v>5</x:v>
      </x:c>
      <x:c r="G19" s="56" t="s">
        <x:v>311</x:v>
      </x:c>
      <x:c r="H19" s="58" t="s">
        <x:v>201</x:v>
      </x:c>
    </x:row>
    <x:row r="20" ht="54.95000076293945" customHeight="1">
      <x:c r="A20" s="55" t="s">
        <x:v>86</x:v>
      </x:c>
      <x:c r="B20" s="56" t="s">
        <x:v>225</x:v>
      </x:c>
      <x:c r="C20" s="57" t="s">
        <x:v>50</x:v>
      </x:c>
      <x:c r="D20" s="57" t="s">
        <x:v>192</x:v>
      </x:c>
      <x:c r="E20" s="56" t="str">
        <x:v>La función, los datos o condiciones principales y el resultado esperado están suficientemente delimitados para diseñar una prueba funcional.</x:v>
      </x:c>
      <x:c r="F20" s="57">
        <x:v>5</x:v>
      </x:c>
      <x:c r="G20" s="56" t="s">
        <x:v>311</x:v>
      </x:c>
      <x:c r="H20" s="58" t="s">
        <x:v>201</x:v>
      </x:c>
    </x:row>
    <x:row r="21" ht="54.95000076293945" customHeight="1">
      <x:c r="A21" s="55" t="s">
        <x:v>88</x:v>
      </x:c>
      <x:c r="B21" s="56" t="s">
        <x:v>226</x:v>
      </x:c>
      <x:c r="C21" s="57" t="s">
        <x:v>50</x:v>
      </x:c>
      <x:c r="D21" s="57" t="s">
        <x:v>192</x:v>
      </x:c>
      <x:c r="E21" s="56" t="str">
        <x:v>La función, los datos o condiciones principales y el resultado esperado están suficientemente delimitados para diseñar una prueba funcional.</x:v>
      </x:c>
      <x:c r="F21" s="57">
        <x:v>5</x:v>
      </x:c>
      <x:c r="G21" s="56" t="s">
        <x:v>311</x:v>
      </x:c>
      <x:c r="H21" s="58" t="s">
        <x:v>201</x:v>
      </x:c>
    </x:row>
    <x:row r="22" ht="54.95000076293945" customHeight="1">
      <x:c r="A22" s="55" t="s">
        <x:v>90</x:v>
      </x:c>
      <x:c r="B22" s="56" t="s">
        <x:v>227</x:v>
      </x:c>
      <x:c r="C22" s="57" t="s">
        <x:v>50</x:v>
      </x:c>
      <x:c r="D22" s="57" t="s">
        <x:v>192</x:v>
      </x:c>
      <x:c r="E22" s="56" t="str">
        <x:v>Según el análisis, establece dos condiciones objetivas de activación de la alerta: diferencia de peso superior al 40 % o enfermedad contagiosa activa.</x:v>
      </x:c>
      <x:c r="F22" s="57">
        <x:v>5</x:v>
      </x:c>
      <x:c r="G22" s="56" t="s">
        <x:v>311</x:v>
      </x:c>
      <x:c r="H22" s="58" t="s">
        <x:v>211</x:v>
      </x:c>
    </x:row>
    <x:row r="23" ht="69.94999694824219" customHeight="1">
      <x:c r="A23" s="55" t="s">
        <x:v>92</x:v>
      </x:c>
      <x:c r="B23" s="56" t="s">
        <x:v>229</x:v>
      </x:c>
      <x:c r="C23" s="57" t="s">
        <x:v>55</x:v>
      </x:c>
      <x:c r="D23" s="57" t="s">
        <x:v>30</x:v>
      </x:c>
      <x:c r="E23" s="56" t="str">
        <x:v>En este caso, los principios de protección desde el diseño y por defecto son amplios y no se traducen en controles verificables concretos.</x:v>
      </x:c>
      <x:c r="F23" s="57">
        <x:v>4</x:v>
      </x:c>
      <x:c r="G23" s="56" t="s">
        <x:v>311</x:v>
      </x:c>
      <x:c r="H23" s="58" t="s">
        <x:v>201</x:v>
      </x:c>
    </x:row>
    <x:row r="24" ht="54.95000076293945" customHeight="1">
      <x:c r="A24" s="55" t="s">
        <x:v>94</x:v>
      </x:c>
      <x:c r="B24" s="56" t="s">
        <x:v>231</x:v>
      </x:c>
      <x:c r="C24" s="57" t="s">
        <x:v>50</x:v>
      </x:c>
      <x:c r="D24" s="57" t="s">
        <x:v>192</x:v>
      </x:c>
      <x:c r="E24" s="56" t="str">
        <x:v>La obligación legal identifica el derecho o deber aplicable y establece condiciones suficientemente explícitas para su verificación.</x:v>
      </x:c>
      <x:c r="F24" s="57">
        <x:v>5</x:v>
      </x:c>
      <x:c r="G24" s="56" t="s">
        <x:v>311</x:v>
      </x:c>
      <x:c r="H24" s="58" t="s">
        <x:v>201</x:v>
      </x:c>
    </x:row>
    <x:row r="25" ht="69.94999694824219" customHeight="1">
      <x:c r="A25" s="55" t="s">
        <x:v>96</x:v>
      </x:c>
      <x:c r="B25" s="56" t="s">
        <x:v>233</x:v>
      </x:c>
      <x:c r="C25" s="57" t="s">
        <x:v>50</x:v>
      </x:c>
      <x:c r="D25" s="57" t="s">
        <x:v>192</x:v>
      </x:c>
      <x:c r="E25" s="56" t="str">
        <x:v>El enunciado enumera de forma concreta los componentes del historial médico que deben poder registrarse.</x:v>
      </x:c>
      <x:c r="F25" s="57">
        <x:v>5</x:v>
      </x:c>
      <x:c r="G25" s="56" t="s">
        <x:v>311</x:v>
      </x:c>
      <x:c r="H25" s="58" t="s">
        <x:v>211</x:v>
      </x:c>
    </x:row>
    <x:row r="26" ht="54.95000076293945" customHeight="1">
      <x:c r="A26" s="55" t="s">
        <x:v>98</x:v>
      </x:c>
      <x:c r="B26" s="56" t="s">
        <x:v>235</x:v>
      </x:c>
      <x:c r="C26" s="57" t="s">
        <x:v>55</x:v>
      </x:c>
      <x:c r="D26" s="57" t="s">
        <x:v>18</x:v>
      </x:c>
      <x:c r="E26" s="56" t="str">
        <x:v>En este caso, la expresión «dentro de un plazo definido» no establece el número de días para ejecutar la supresión o anonimización.</x:v>
      </x:c>
      <x:c r="F26" s="57">
        <x:v>4</x:v>
      </x:c>
      <x:c r="G26" s="56" t="s">
        <x:v>311</x:v>
      </x:c>
      <x:c r="H26" s="58" t="s">
        <x:v>201</x:v>
      </x:c>
    </x:row>
    <x:row r="27" ht="54.95000076293945" customHeight="1">
      <x:c r="A27" s="55" t="s">
        <x:v>100</x:v>
      </x:c>
      <x:c r="B27" s="56" t="s">
        <x:v>237</x:v>
      </x:c>
      <x:c r="C27" s="57" t="s">
        <x:v>50</x:v>
      </x:c>
      <x:c r="D27" s="57" t="s">
        <x:v>192</x:v>
      </x:c>
      <x:c r="E27" s="56" t="str">
        <x:v>En este requisito, la precisión de validación está definida mediante el criterio cuantitativo establecido en la redacción vigente.</x:v>
      </x:c>
      <x:c r="F27" s="57">
        <x:v>4</x:v>
      </x:c>
      <x:c r="G27" s="56" t="s">
        <x:v>311</x:v>
      </x:c>
      <x:c r="H27" s="58" t="s">
        <x:v>211</x:v>
      </x:c>
    </x:row>
    <x:row r="28" ht="54.95000076293945" customHeight="1">
      <x:c r="A28" s="55" t="s">
        <x:v>102</x:v>
      </x:c>
      <x:c r="B28" s="56" t="s">
        <x:v>239</x:v>
      </x:c>
      <x:c r="C28" s="57" t="s">
        <x:v>50</x:v>
      </x:c>
      <x:c r="D28" s="57" t="s">
        <x:v>192</x:v>
      </x:c>
      <x:c r="E28" s="56" t="str">
        <x:v>La revisión muestra que delimita la condición sanitaria o física que activa la alerta y el momento funcional en que debe mostrarse.</x:v>
      </x:c>
      <x:c r="F28" s="57">
        <x:v>4</x:v>
      </x:c>
      <x:c r="G28" s="56" t="s">
        <x:v>311</x:v>
      </x:c>
      <x:c r="H28" s="58" t="s">
        <x:v>211</x:v>
      </x:c>
    </x:row>
    <x:row r="29" ht="69.94999694824219" customHeight="1">
      <x:c r="A29" s="55" t="s">
        <x:v>104</x:v>
      </x:c>
      <x:c r="B29" s="56" t="s">
        <x:v>241</x:v>
      </x:c>
      <x:c r="C29" s="57" t="s">
        <x:v>50</x:v>
      </x:c>
      <x:c r="D29" s="57" t="s">
        <x:v>192</x:v>
      </x:c>
      <x:c r="E29" s="56" t="str">
        <x:v>El enunciado especifica los datos de trazabilidad de la vacuna y permite comprobar su registro y consulta.</x:v>
      </x:c>
      <x:c r="F29" s="57">
        <x:v>5</x:v>
      </x:c>
      <x:c r="G29" s="56" t="s">
        <x:v>311</x:v>
      </x:c>
      <x:c r="H29" s="58" t="s">
        <x:v>211</x:v>
      </x:c>
    </x:row>
    <x:row r="30" ht="69.94999694824219" customHeight="1">
      <x:c r="A30" s="55" t="s">
        <x:v>106</x:v>
      </x:c>
      <x:c r="B30" s="56" t="s">
        <x:v>243</x:v>
      </x:c>
      <x:c r="C30" s="57" t="s">
        <x:v>50</x:v>
      </x:c>
      <x:c r="D30" s="57" t="s">
        <x:v>192</x:v>
      </x:c>
      <x:c r="E30" s="56" t="str">
        <x:v>Según el análisis, define actor, contenido del aviso y finalidad de publicación pública de la mascota extraviada.</x:v>
      </x:c>
      <x:c r="F30" s="57">
        <x:v>5</x:v>
      </x:c>
      <x:c r="G30" s="56" t="s">
        <x:v>311</x:v>
      </x:c>
      <x:c r="H30" s="58" t="s">
        <x:v>211</x:v>
      </x:c>
    </x:row>
    <x:row r="31" ht="54.95000076293945" customHeight="1">
      <x:c r="A31" s="55" t="s">
        <x:v>108</x:v>
      </x:c>
      <x:c r="B31" s="56" t="s">
        <x:v>245</x:v>
      </x:c>
      <x:c r="C31" s="57" t="s">
        <x:v>55</x:v>
      </x:c>
      <x:c r="D31" s="57" t="s">
        <x:v>27</x:v>
      </x:c>
      <x:c r="E31" s="56" t="str">
        <x:v>El análisis identifica que verbo «validar» puede significar revisión documental, certificación profesional o confirmación clínica, sin delimitar su alcance.</x:v>
      </x:c>
      <x:c r="F31" s="57">
        <x:v>4</x:v>
      </x:c>
      <x:c r="G31" s="56" t="s">
        <x:v>311</x:v>
      </x:c>
      <x:c r="H31" s="58" t="s">
        <x:v>201</x:v>
      </x:c>
    </x:row>
    <x:row r="32" ht="54.95000076293945" customHeight="1">
      <x:c r="A32" s="55" t="s">
        <x:v>110</x:v>
      </x:c>
      <x:c r="B32" s="56" t="s">
        <x:v>247</x:v>
      </x:c>
      <x:c r="C32" s="57" t="s">
        <x:v>50</x:v>
      </x:c>
      <x:c r="D32" s="57" t="s">
        <x:v>192</x:v>
      </x:c>
      <x:c r="E32" s="56" t="str">
        <x:v>La función, los datos o condiciones principales y el resultado esperado están suficientemente delimitados para diseñar una prueba funcional.</x:v>
      </x:c>
      <x:c r="F32" s="57">
        <x:v>5</x:v>
      </x:c>
      <x:c r="G32" s="56" t="s">
        <x:v>311</x:v>
      </x:c>
      <x:c r="H32" s="58" t="s">
        <x:v>201</x:v>
      </x:c>
    </x:row>
    <x:row r="33" ht="54.95000076293945" customHeight="1">
      <x:c r="A33" s="55" t="s">
        <x:v>112</x:v>
      </x:c>
      <x:c r="B33" s="56" t="s">
        <x:v>248</x:v>
      </x:c>
      <x:c r="C33" s="57" t="s">
        <x:v>50</x:v>
      </x:c>
      <x:c r="D33" s="57" t="s">
        <x:v>192</x:v>
      </x:c>
      <x:c r="E33" s="56" t="str">
        <x:v>La obligación legal identifica el derecho o deber aplicable y establece condiciones suficientemente explícitas para su verificación.</x:v>
      </x:c>
      <x:c r="F33" s="57">
        <x:v>5</x:v>
      </x:c>
      <x:c r="G33" s="56" t="s">
        <x:v>311</x:v>
      </x:c>
      <x:c r="H33" s="58" t="s">
        <x:v>201</x:v>
      </x:c>
    </x:row>
    <x:row r="34" ht="54.95000076293945" customHeight="1">
      <x:c r="A34" s="55" t="s">
        <x:v>114</x:v>
      </x:c>
      <x:c r="B34" s="56" t="s">
        <x:v>249</x:v>
      </x:c>
      <x:c r="C34" s="57" t="s">
        <x:v>50</x:v>
      </x:c>
      <x:c r="D34" s="57" t="s">
        <x:v>192</x:v>
      </x:c>
      <x:c r="E34" s="56" t="str">
        <x:v>Según el análisis, la redacción establece una condición cuantificable y un resultado observable para la evaluación.</x:v>
      </x:c>
      <x:c r="F34" s="57">
        <x:v>4</x:v>
      </x:c>
      <x:c r="G34" s="56" t="s">
        <x:v>311</x:v>
      </x:c>
      <x:c r="H34" s="58" t="s">
        <x:v>211</x:v>
      </x:c>
    </x:row>
    <x:row r="35" ht="54.95000076293945" customHeight="1">
      <x:c r="A35" s="55" t="s">
        <x:v>116</x:v>
      </x:c>
      <x:c r="B35" s="56" t="s">
        <x:v>251</x:v>
      </x:c>
      <x:c r="C35" s="57" t="s">
        <x:v>50</x:v>
      </x:c>
      <x:c r="D35" s="57" t="s">
        <x:v>192</x:v>
      </x:c>
      <x:c r="E35" s="56" t="str">
        <x:v>En este requisito, los elementos funcionales y la condición de cumplimiento están suficientemente delimitados para una prueba.</x:v>
      </x:c>
      <x:c r="F35" s="57">
        <x:v>4</x:v>
      </x:c>
      <x:c r="G35" s="56" t="s">
        <x:v>311</x:v>
      </x:c>
      <x:c r="H35" s="58" t="s">
        <x:v>211</x:v>
      </x:c>
    </x:row>
    <x:row r="36" ht="54.95000076293945" customHeight="1">
      <x:c r="A36" s="55" t="s">
        <x:v>118</x:v>
      </x:c>
      <x:c r="B36" s="56" t="s">
        <x:v>253</x:v>
      </x:c>
      <x:c r="C36" s="57" t="s">
        <x:v>50</x:v>
      </x:c>
      <x:c r="D36" s="57" t="s">
        <x:v>192</x:v>
      </x:c>
      <x:c r="E36" s="56" t="str">
        <x:v>La restricción técnica u organizativa establece un mecanismo, tecnología o condición concreta aplicable al diseño.</x:v>
      </x:c>
      <x:c r="F36" s="57">
        <x:v>5</x:v>
      </x:c>
      <x:c r="G36" s="56" t="s">
        <x:v>311</x:v>
      </x:c>
      <x:c r="H36" s="58" t="s">
        <x:v>201</x:v>
      </x:c>
    </x:row>
    <x:row r="37" ht="54.95000076293945" customHeight="1">
      <x:c r="A37" s="55" t="s">
        <x:v>120</x:v>
      </x:c>
      <x:c r="B37" s="56" t="s">
        <x:v>191</x:v>
      </x:c>
      <x:c r="C37" s="57" t="s">
        <x:v>50</x:v>
      </x:c>
      <x:c r="D37" s="57" t="s">
        <x:v>192</x:v>
      </x:c>
      <x:c r="E37" s="56" t="str">
        <x:v>La función, los datos o condiciones principales y el resultado esperado están suficientemente delimitados para diseñar una prueba funcional.</x:v>
      </x:c>
      <x:c r="F37" s="57">
        <x:v>5</x:v>
      </x:c>
      <x:c r="G37" s="56" t="s">
        <x:v>311</x:v>
      </x:c>
      <x:c r="H37" s="58" t="s">
        <x:v>201</x:v>
      </x:c>
    </x:row>
    <x:row r="38" ht="54.95000076293945" customHeight="1">
      <x:c r="A38" s="55" t="s">
        <x:v>122</x:v>
      </x:c>
      <x:c r="B38" s="56" t="s">
        <x:v>254</x:v>
      </x:c>
      <x:c r="C38" s="57" t="s">
        <x:v>55</x:v>
      </x:c>
      <x:c r="D38" s="57" t="s">
        <x:v>27</x:v>
      </x:c>
      <x:c r="E38" s="56" t="str">
        <x:v>En este caso, los conceptos «módulos independientes» y «facilitar el mantenimiento» no incluyen criterios técnicos para medir el desacoplamiento.</x:v>
      </x:c>
      <x:c r="F38" s="57">
        <x:v>4</x:v>
      </x:c>
      <x:c r="G38" s="56" t="s">
        <x:v>311</x:v>
      </x:c>
      <x:c r="H38" s="58" t="s">
        <x:v>201</x:v>
      </x:c>
    </x:row>
    <x:row r="39" ht="54.95000076293945" customHeight="1">
      <x:c r="A39" s="55" t="s">
        <x:v>124</x:v>
      </x:c>
      <x:c r="B39" s="56" t="s">
        <x:v>256</x:v>
      </x:c>
      <x:c r="C39" s="57" t="s">
        <x:v>50</x:v>
      </x:c>
      <x:c r="D39" s="57" t="s">
        <x:v>192</x:v>
      </x:c>
      <x:c r="E39" s="56" t="str">
        <x:v>En este requisito, la condición de calidad está expresada mediante un criterio objetivo que permite contrastar el cumplimiento.</x:v>
      </x:c>
      <x:c r="F39" s="57">
        <x:v>5</x:v>
      </x:c>
      <x:c r="G39" s="56" t="s">
        <x:v>311</x:v>
      </x:c>
      <x:c r="H39" s="58" t="s">
        <x:v>211</x:v>
      </x:c>
    </x:row>
    <x:row r="40" ht="54.95000076293945" customHeight="1">
      <x:c r="A40" s="55" t="s">
        <x:v>126</x:v>
      </x:c>
      <x:c r="B40" s="56" t="s">
        <x:v>258</x:v>
      </x:c>
      <x:c r="C40" s="57" t="s">
        <x:v>50</x:v>
      </x:c>
      <x:c r="D40" s="57" t="s">
        <x:v>192</x:v>
      </x:c>
      <x:c r="E40" s="56" t="str">
        <x:v>La revisión muestra que el requisito identifica de manera concreta la función o restricción y el resultado esperado.</x:v>
      </x:c>
      <x:c r="F40" s="57">
        <x:v>4</x:v>
      </x:c>
      <x:c r="G40" s="56" t="s">
        <x:v>311</x:v>
      </x:c>
      <x:c r="H40" s="58" t="s">
        <x:v>211</x:v>
      </x:c>
    </x:row>
    <x:row r="41" ht="54.95000076293945" customHeight="1">
      <x:c r="A41" s="55" t="s">
        <x:v>128</x:v>
      </x:c>
      <x:c r="B41" s="56" t="s">
        <x:v>260</x:v>
      </x:c>
      <x:c r="C41" s="57" t="s">
        <x:v>50</x:v>
      </x:c>
      <x:c r="D41" s="57" t="s">
        <x:v>192</x:v>
      </x:c>
      <x:c r="E41" s="56" t="str">
        <x:v>La función, los datos o condiciones principales y el resultado esperado están suficientemente delimitados para diseñar una prueba funcional.</x:v>
      </x:c>
      <x:c r="F41" s="57">
        <x:v>5</x:v>
      </x:c>
      <x:c r="G41" s="56" t="s">
        <x:v>311</x:v>
      </x:c>
      <x:c r="H41" s="58" t="s">
        <x:v>201</x:v>
      </x:c>
    </x:row>
    <x:row r="42" ht="69.94999694824219" customHeight="1">
      <x:c r="A42" s="55" t="s">
        <x:v>130</x:v>
      </x:c>
      <x:c r="B42" s="56" t="s">
        <x:v>261</x:v>
      </x:c>
      <x:c r="C42" s="57" t="s">
        <x:v>50</x:v>
      </x:c>
      <x:c r="D42" s="57" t="s">
        <x:v>192</x:v>
      </x:c>
      <x:c r="E42" s="56" t="str">
        <x:v>Se especifican los datos que deben registrarse —linaje, enfermedades hereditarias y parentesco— y su uso previsto.</x:v>
      </x:c>
      <x:c r="F42" s="57">
        <x:v>4</x:v>
      </x:c>
      <x:c r="G42" s="56" t="s">
        <x:v>311</x:v>
      </x:c>
      <x:c r="H42" s="58" t="s">
        <x:v>201</x:v>
      </x:c>
    </x:row>
    <x:row r="43" ht="69.94999694824219" customHeight="1">
      <x:c r="A43" s="55" t="s">
        <x:v>132</x:v>
      </x:c>
      <x:c r="B43" s="56" t="s">
        <x:v>263</x:v>
      </x:c>
      <x:c r="C43" s="57" t="s">
        <x:v>50</x:v>
      </x:c>
      <x:c r="D43" s="57" t="s">
        <x:v>192</x:v>
      </x:c>
      <x:c r="E43" s="56" t="str">
        <x:v>La función, los datos o condiciones principales y el resultado esperado están suficientemente delimitados para diseñar una prueba funcional.</x:v>
      </x:c>
      <x:c r="F43" s="57">
        <x:v>5</x:v>
      </x:c>
      <x:c r="G43" s="56" t="s">
        <x:v>311</x:v>
      </x:c>
      <x:c r="H43" s="58" t="s">
        <x:v>201</x:v>
      </x:c>
    </x:row>
    <x:row r="44" ht="54.95000076293945" customHeight="1">
      <x:c r="A44" s="55" t="s">
        <x:v>134</x:v>
      </x:c>
      <x:c r="B44" s="56" t="s">
        <x:v>264</x:v>
      </x:c>
      <x:c r="C44" s="57" t="s">
        <x:v>50</x:v>
      </x:c>
      <x:c r="D44" s="57" t="s">
        <x:v>192</x:v>
      </x:c>
      <x:c r="E44" s="56" t="str">
        <x:v>La revisión muestra que la obligación está delimitada mediante condiciones explícitas y puede verificarse contra el comportamiento esperado.</x:v>
      </x:c>
      <x:c r="F44" s="57">
        <x:v>4</x:v>
      </x:c>
      <x:c r="G44" s="56" t="s">
        <x:v>311</x:v>
      </x:c>
      <x:c r="H44" s="58" t="s">
        <x:v>211</x:v>
      </x:c>
    </x:row>
    <x:row r="45" ht="54.95000076293945" customHeight="1">
      <x:c r="A45" s="55" t="s">
        <x:v>136</x:v>
      </x:c>
      <x:c r="B45" s="56" t="s">
        <x:v>266</x:v>
      </x:c>
      <x:c r="C45" s="57" t="s">
        <x:v>50</x:v>
      </x:c>
      <x:c r="D45" s="57" t="s">
        <x:v>192</x:v>
      </x:c>
      <x:c r="E45" s="56" t="str">
        <x:v>El enunciado la redacción actual acota el alcance y permite diseñar una comprobación objetiva.</x:v>
      </x:c>
      <x:c r="F45" s="57">
        <x:v>4</x:v>
      </x:c>
      <x:c r="G45" s="56" t="s">
        <x:v>311</x:v>
      </x:c>
      <x:c r="H45" s="58" t="s">
        <x:v>211</x:v>
      </x:c>
    </x:row>
    <x:row r="46" ht="54.95000076293945" customHeight="1">
      <x:c r="A46" s="55" t="s">
        <x:v>138</x:v>
      </x:c>
      <x:c r="B46" s="56" t="s">
        <x:v>268</x:v>
      </x:c>
      <x:c r="C46" s="57" t="s">
        <x:v>50</x:v>
      </x:c>
      <x:c r="D46" s="57" t="s">
        <x:v>192</x:v>
      </x:c>
      <x:c r="E46" s="56" t="str">
        <x:v>La función, los datos o condiciones principales y el resultado esperado están suficientemente delimitados para diseñar una prueba funcional.</x:v>
      </x:c>
      <x:c r="F46" s="57">
        <x:v>5</x:v>
      </x:c>
      <x:c r="G46" s="56" t="s">
        <x:v>311</x:v>
      </x:c>
      <x:c r="H46" s="58" t="s">
        <x:v>201</x:v>
      </x:c>
    </x:row>
    <x:row r="47" ht="54.95000076293945" customHeight="1">
      <x:c r="A47" s="55" t="s">
        <x:v>140</x:v>
      </x:c>
      <x:c r="B47" s="56" t="s">
        <x:v>269</x:v>
      </x:c>
      <x:c r="C47" s="57" t="s">
        <x:v>55</x:v>
      </x:c>
      <x:c r="D47" s="57" t="s">
        <x:v>21</x:v>
      </x:c>
      <x:c r="E47" s="56" t="str">
        <x:v>En este caso, reúne la creación de la solicitud y su aceptación o rechazo, y además usa la expresión abierta «información disponible».</x:v>
      </x:c>
      <x:c r="F47" s="57">
        <x:v>4</x:v>
      </x:c>
      <x:c r="G47" s="56" t="s">
        <x:v>311</x:v>
      </x:c>
      <x:c r="H47" s="58" t="s">
        <x:v>201</x:v>
      </x:c>
    </x:row>
    <x:row r="48" ht="54.95000076293945" customHeight="1">
      <x:c r="A48" s="55" t="s">
        <x:v>142</x:v>
      </x:c>
      <x:c r="B48" s="56" t="s">
        <x:v>271</x:v>
      </x:c>
      <x:c r="C48" s="57" t="s">
        <x:v>55</x:v>
      </x:c>
      <x:c r="D48" s="57" t="s">
        <x:v>18</x:v>
      </x:c>
      <x:c r="E48" s="56" t="str">
        <x:v>La revisión evidencia que la expresión «contacto periódico» no establece frecuencia, duración ni eventos mínimos del seguimiento post-adopción.</x:v>
      </x:c>
      <x:c r="F48" s="57">
        <x:v>4</x:v>
      </x:c>
      <x:c r="G48" s="56" t="s">
        <x:v>311</x:v>
      </x:c>
      <x:c r="H48" s="58" t="s">
        <x:v>201</x:v>
      </x:c>
    </x:row>
    <x:row r="49" ht="54.95000076293945" customHeight="1">
      <x:c r="A49" s="55" t="s">
        <x:v>144</x:v>
      </x:c>
      <x:c r="B49" s="56" t="s">
        <x:v>273</x:v>
      </x:c>
      <x:c r="C49" s="57" t="s">
        <x:v>50</x:v>
      </x:c>
      <x:c r="D49" s="57" t="s">
        <x:v>192</x:v>
      </x:c>
      <x:c r="E49" s="56" t="str">
        <x:v>La restricción técnica u organizativa establece un mecanismo, tecnología o condición concreta aplicable al diseño.</x:v>
      </x:c>
      <x:c r="F49" s="57">
        <x:v>5</x:v>
      </x:c>
      <x:c r="G49" s="56" t="s">
        <x:v>311</x:v>
      </x:c>
      <x:c r="H49" s="58" t="s">
        <x:v>201</x:v>
      </x:c>
    </x:row>
    <x:row r="50" ht="54.95000076293945" customHeight="1">
      <x:c r="A50" s="55" t="s">
        <x:v>146</x:v>
      </x:c>
      <x:c r="B50" s="56" t="s">
        <x:v>274</x:v>
      </x:c>
      <x:c r="C50" s="57" t="s">
        <x:v>50</x:v>
      </x:c>
      <x:c r="D50" s="57" t="s">
        <x:v>192</x:v>
      </x:c>
      <x:c r="E50" s="56" t="str">
        <x:v>La obligación legal identifica el derecho o deber aplicable y establece condiciones suficientemente explícitas para su verificación.</x:v>
      </x:c>
      <x:c r="F50" s="57">
        <x:v>5</x:v>
      </x:c>
      <x:c r="G50" s="56" t="s">
        <x:v>311</x:v>
      </x:c>
      <x:c r="H50" s="58" t="s">
        <x:v>201</x:v>
      </x:c>
    </x:row>
    <x:row r="51" ht="54.95000076293945" customHeight="1">
      <x:c r="A51" s="55" t="s">
        <x:v>148</x:v>
      </x:c>
      <x:c r="B51" s="56" t="s">
        <x:v>275</x:v>
      </x:c>
      <x:c r="C51" s="57" t="s">
        <x:v>55</x:v>
      </x:c>
      <x:c r="D51" s="57" t="s">
        <x:v>18</x:v>
      </x:c>
      <x:c r="E51" s="56" t="str">
        <x:v>La revisión evidencia que la expresión «sin degradar significativamente» no fija un porcentaje de degradación permitido respecto de RNF-03.</x:v>
      </x:c>
      <x:c r="F51" s="57">
        <x:v>4</x:v>
      </x:c>
      <x:c r="G51" s="56" t="s">
        <x:v>311</x:v>
      </x:c>
      <x:c r="H51" s="58" t="s">
        <x:v>201</x:v>
      </x:c>
    </x:row>
    <x:row r="52" ht="54.95000076293945" customHeight="1">
      <x:c r="A52" s="55" t="s">
        <x:v>150</x:v>
      </x:c>
      <x:c r="B52" s="56" t="s">
        <x:v>277</x:v>
      </x:c>
      <x:c r="C52" s="57" t="s">
        <x:v>50</x:v>
      </x:c>
      <x:c r="D52" s="57" t="s">
        <x:v>192</x:v>
      </x:c>
      <x:c r="E52" s="56" t="str">
        <x:v>Incluye una métrica, umbral, plataforma o condición objetiva que permite comprobar su cumplimiento.</x:v>
      </x:c>
      <x:c r="F52" s="57">
        <x:v>5</x:v>
      </x:c>
      <x:c r="G52" s="56" t="s">
        <x:v>311</x:v>
      </x:c>
      <x:c r="H52" s="58" t="s">
        <x:v>201</x:v>
      </x:c>
    </x:row>
    <x:row r="53" ht="48" customHeight="1">
      <x:c r="A53" s="55" t="s">
        <x:v>152</x:v>
      </x:c>
      <x:c r="B53" s="56" t="s">
        <x:v>278</x:v>
      </x:c>
      <x:c r="C53" s="57" t="s">
        <x:v>50</x:v>
      </x:c>
      <x:c r="D53" s="57" t="s">
        <x:v>192</x:v>
      </x:c>
      <x:c r="E53" s="56" t="str">
        <x:v>Define el uso obligatorio de control de acceso basado en roles y los perfiles que deben diferenciarse.</x:v>
      </x:c>
      <x:c r="F53" s="57">
        <x:v>3</x:v>
      </x:c>
      <x:c r="G53" s="56" t="s">
        <x:v>311</x:v>
      </x:c>
      <x:c r="H53" s="58" t="s">
        <x:v>201</x:v>
      </x:c>
    </x:row>
    <x:row r="54" ht="69.94999694824219" customHeight="1">
      <x:c r="A54" s="55" t="s">
        <x:v>154</x:v>
      </x:c>
      <x:c r="B54" s="56" t="s">
        <x:v>280</x:v>
      </x:c>
      <x:c r="C54" s="57" t="s">
        <x:v>50</x:v>
      </x:c>
      <x:c r="D54" s="57" t="s">
        <x:v>192</x:v>
      </x:c>
      <x:c r="E54" s="56" t="str">
        <x:v>Incluye una métrica, umbral, plataforma o condición objetiva que permite comprobar su cumplimiento.</x:v>
      </x:c>
      <x:c r="F54" s="57">
        <x:v>5</x:v>
      </x:c>
      <x:c r="G54" s="56" t="s">
        <x:v>311</x:v>
      </x:c>
      <x:c r="H54" s="58" t="s">
        <x:v>201</x:v>
      </x:c>
    </x:row>
    <x:row r="55" ht="54.95000076293945" customHeight="1">
      <x:c r="A55" s="55" t="s">
        <x:v>156</x:v>
      </x:c>
      <x:c r="B55" s="56" t="s">
        <x:v>281</x:v>
      </x:c>
      <x:c r="C55" s="57" t="s">
        <x:v>55</x:v>
      </x:c>
      <x:c r="D55" s="57" t="s">
        <x:v>18</x:v>
      </x:c>
      <x:c r="E55" s="56" t="str">
        <x:v>El análisis identifica que la expresión «estrictamente necesario» no establece un criterio operativo para decidir qué datos son mínimos para cada finalidad.</x:v>
      </x:c>
      <x:c r="F55" s="57">
        <x:v>4</x:v>
      </x:c>
      <x:c r="G55" s="56" t="s">
        <x:v>311</x:v>
      </x:c>
      <x:c r="H55" s="58" t="s">
        <x:v>201</x:v>
      </x:c>
    </x:row>
    <x:row r="56" ht="69.94999694824219" customHeight="1">
      <x:c r="A56" s="55" t="s">
        <x:v>158</x:v>
      </x:c>
      <x:c r="B56" s="56" t="s">
        <x:v>283</x:v>
      </x:c>
      <x:c r="C56" s="57" t="s">
        <x:v>50</x:v>
      </x:c>
      <x:c r="D56" s="57" t="s">
        <x:v>192</x:v>
      </x:c>
      <x:c r="E56" s="56" t="str">
        <x:v>Incluye una métrica, umbral, plataforma o condición objetiva que permite comprobar su cumplimiento.</x:v>
      </x:c>
      <x:c r="F56" s="57">
        <x:v>5</x:v>
      </x:c>
      <x:c r="G56" s="56" t="s">
        <x:v>311</x:v>
      </x:c>
      <x:c r="H56" s="58" t="s">
        <x:v>201</x:v>
      </x:c>
    </x:row>
    <x:row r="57" ht="62.099998474121094" customHeight="1">
      <x:c r="A57" s="36" t="s">
        <x:v>160</x:v>
      </x:c>
      <x:c r="B57" s="30" t="s">
        <x:v>284</x:v>
      </x:c>
      <x:c r="C57" s="36" t="s">
        <x:v>50</x:v>
      </x:c>
      <x:c r="D57" s="36" t="s">
        <x:v>192</x:v>
      </x:c>
      <x:c r="E57" s="30" t="str">
        <x:v>El enunciado define la comunicación, los procesos en que se usa, las categorías de reporte y el registro del motivo asociado a la conversación.</x:v>
      </x:c>
      <x:c r="F57" s="36">
        <x:v>5</x:v>
      </x:c>
      <x:c r="G57" s="36" t="s">
        <x:v>311</x:v>
      </x:c>
      <x:c r="H57" s="36" t="s">
        <x:v>211</x:v>
      </x:c>
    </x:row>
    <x:row r="58" ht="62.099998474121094" customHeight="1">
      <x:c r="A58" s="36" t="s">
        <x:v>162</x:v>
      </x:c>
      <x:c r="B58" s="32" t="s">
        <x:v>286</x:v>
      </x:c>
      <x:c r="C58" s="28" t="s">
        <x:v>50</x:v>
      </x:c>
      <x:c r="D58" s="28" t="s">
        <x:v>192</x:v>
      </x:c>
      <x:c r="E58" s="32" t="str">
        <x:v>Según el análisis, incluye dos métricas verificables: al menos 90 % de éxito en tareas y puntuación media SUS de 80/100 o superior.</x:v>
      </x:c>
      <x:c r="F58" s="28">
        <x:v>5</x:v>
      </x:c>
      <x:c r="G58" s="28" t="s">
        <x:v>311</x:v>
      </x:c>
      <x:c r="H58" s="36" t="s">
        <x:v>211</x:v>
      </x:c>
    </x:row>
    <x:row r="59" ht="62.099998474121094" customHeight="1">
      <x:c r="A59" s="36" t="s">
        <x:v>164</x:v>
      </x:c>
      <x:c r="B59" s="32" t="s">
        <x:v>288</x:v>
      </x:c>
      <x:c r="C59" s="28" t="s">
        <x:v>50</x:v>
      </x:c>
      <x:c r="D59" s="28" t="s">
        <x:v>192</x:v>
      </x:c>
      <x:c r="E59" s="32" t="str">
        <x:v>En este requisito, fija una coincidencia mínima del 85 % y establece como referencia las evaluaciones de médicos veterinarios.</x:v>
      </x:c>
      <x:c r="F59" s="28">
        <x:v>5</x:v>
      </x:c>
      <x:c r="G59" s="28" t="s">
        <x:v>311</x:v>
      </x:c>
      <x:c r="H59" s="36" t="s">
        <x:v>211</x:v>
      </x:c>
    </x:row>
    <x:row r="60" ht="62.099998474121094" customHeight="1">
      <x:c r="A60" s="29" t="s">
        <x:v>166</x:v>
      </x:c>
      <x:c r="B60" s="59" t="s">
        <x:v>290</x:v>
      </x:c>
      <x:c r="C60" s="29" t="s">
        <x:v>50</x:v>
      </x:c>
      <x:c r="D60" s="29" t="s">
        <x:v>192</x:v>
      </x:c>
      <x:c r="E60" s="59" t="str">
        <x:v>La revisión muestra que define anticipación temporal, tipos de controles, canal principal y canal de respaldo ante indisponibilidad externa.</x:v>
      </x:c>
      <x:c r="F60" s="29">
        <x:v>5</x:v>
      </x:c>
      <x:c r="G60" s="29" t="s">
        <x:v>311</x:v>
      </x:c>
      <x:c r="H60" s="29" t="s">
        <x:v>211</x:v>
      </x:c>
    </x:row>
    <x:row r="61" ht="62.099998474121094" customHeight="1">
      <x:c r="A61" s="36" t="s">
        <x:v>168</x:v>
      </x:c>
      <x:c r="B61" s="32" t="s">
        <x:v>292</x:v>
      </x:c>
      <x:c r="C61" s="28" t="s">
        <x:v>50</x:v>
      </x:c>
      <x:c r="D61" s="28" t="s">
        <x:v>192</x:v>
      </x:c>
      <x:c r="E61" s="32" t="str">
        <x:v>El enunciado la segunda revisión y el registro de ambas validaciones describen una función comprobable; el criterio profesional pertenece al dominio veterinario.</x:v>
      </x:c>
      <x:c r="F61" s="28">
        <x:v>3</x:v>
      </x:c>
      <x:c r="G61" s="28" t="s">
        <x:v>311</x:v>
      </x:c>
      <x:c r="H61" s="36" t="s">
        <x:v>211</x:v>
      </x:c>
    </x:row>
    <x:row r="62" ht="62.099998474121094" customHeight="1">
      <x:c r="A62" s="36" t="s">
        <x:v>170</x:v>
      </x:c>
      <x:c r="B62" s="32" t="s">
        <x:v>294</x:v>
      </x:c>
      <x:c r="C62" s="28" t="s">
        <x:v>50</x:v>
      </x:c>
      <x:c r="D62" s="28" t="s">
        <x:v>192</x:v>
      </x:c>
      <x:c r="E62" s="32" t="str">
        <x:v>Según el análisis, el umbral está cuantificado: más de dos procesos completados dentro de seis meses, con destinatarios de la alerta identificados.</x:v>
      </x:c>
      <x:c r="F62" s="28">
        <x:v>5</x:v>
      </x:c>
      <x:c r="G62" s="28" t="s">
        <x:v>311</x:v>
      </x:c>
      <x:c r="H62" s="36" t="s">
        <x:v>211</x:v>
      </x:c>
    </x:row>
    <x:row r="63" ht="62.099998474121094" customHeight="1">
      <x:c r="A63" s="36" t="s">
        <x:v>172</x:v>
      </x:c>
      <x:c r="B63" s="32" t="s">
        <x:v>296</x:v>
      </x:c>
      <x:c r="C63" s="28" t="s">
        <x:v>55</x:v>
      </x:c>
      <x:c r="D63" s="28" t="s">
        <x:v>27</x:v>
      </x:c>
      <x:c r="E63" s="32" t="str">
        <x:v>En este requisito, «Explicación motivada» no especifica contenido mínimo, profundidad ni criterio para determinar que la explicación es suficiente.</x:v>
      </x:c>
      <x:c r="F63" s="28">
        <x:v>4</x:v>
      </x:c>
      <x:c r="G63" s="28" t="s">
        <x:v>311</x:v>
      </x:c>
      <x:c r="H63" s="36" t="s">
        <x:v>211</x:v>
      </x:c>
    </x:row>
    <x:row r="64" ht="62.099998474121094" customHeight="1">
      <x:c r="A64" s="27" t="s">
        <x:v>174</x:v>
      </x:c>
      <x:c r="B64" s="31" t="s">
        <x:v>298</x:v>
      </x:c>
      <x:c r="C64" s="27" t="s">
        <x:v>55</x:v>
      </x:c>
      <x:c r="D64" s="27" t="s">
        <x:v>27</x:v>
      </x:c>
      <x:c r="E64" s="31" t="str">
        <x:v>La revisión muestra que «Confidencialidad reforzada» y «extensión indirecta» no se traducen en controles o condiciones verificables concretas.</x:v>
      </x:c>
      <x:c r="F64" s="27">
        <x:v>4</x:v>
      </x:c>
      <x:c r="G64" s="27" t="s">
        <x:v>311</x:v>
      </x:c>
      <x:c r="H64" s="27" t="s">
        <x:v>211</x:v>
      </x:c>
    </x:row>
    <x:row r="65" ht="62.099998474121094" customHeight="1">
      <x:c r="A65" s="27" t="s">
        <x:v>176</x:v>
      </x:c>
      <x:c r="B65" s="31" t="s">
        <x:v>300</x:v>
      </x:c>
      <x:c r="C65" s="27" t="s">
        <x:v>55</x:v>
      </x:c>
      <x:c r="D65" s="27" t="s">
        <x:v>18</x:v>
      </x:c>
      <x:c r="E65" s="31" t="str">
        <x:v>El enunciado «Estrictamente necesarios» no establece qué datos son mínimos para cada finalidad ni un criterio operativo de minimización.</x:v>
      </x:c>
      <x:c r="F65" s="27">
        <x:v>4</x:v>
      </x:c>
      <x:c r="G65" s="27" t="s">
        <x:v>311</x:v>
      </x:c>
      <x:c r="H65" s="50" t="s">
        <x:v>211</x:v>
      </x:c>
    </x:row>
    <x:row r="66" ht="62.099998474121094" customHeight="1">
      <x:c r="A66" s="36" t="s">
        <x:v>178</x:v>
      </x:c>
      <x:c r="B66" s="30" t="s">
        <x:v>302</x:v>
      </x:c>
      <x:c r="C66" s="36" t="s">
        <x:v>50</x:v>
      </x:c>
      <x:c r="D66" s="36" t="s">
        <x:v>192</x:v>
      </x:c>
      <x:c r="E66" s="30" t="str">
        <x:v>Según el análisis, identifica el evento disparador, los dos destinatarios y los plazos máximos de 5 y 3 días.</x:v>
      </x:c>
      <x:c r="F66" s="36">
        <x:v>5</x:v>
      </x:c>
      <x:c r="G66" s="36" t="s">
        <x:v>311</x:v>
      </x:c>
      <x:c r="H66" s="36" t="s">
        <x:v>211</x:v>
      </x:c>
    </x:row>
    <x:row r="67" ht="42" customHeight="1">
      <x:c r="A67" s="70"/>
      <x:c r="B67" s="71"/>
      <x:c r="C67" s="71"/>
      <x:c r="D67" s="71"/>
      <x:c r="E67" s="71"/>
      <x:c r="F67" s="71"/>
      <x:c r="G67" s="71"/>
      <x:c r="H67" s="72"/>
    </x:row>
    <x:row r="70">
      <x:c r="A70" t="s">
        <x:v>304</x:v>
      </x:c>
    </x:row>
    <x:row r="71">
      <x:c r="A71" t="s">
        <x:v>305</x:v>
      </x:c>
      <x:c r="B71">
        <x:v>61</x:v>
      </x:c>
      <x:c r="C71" t="s">
        <x:v>306</x:v>
      </x:c>
      <x:c r="D71" s="21" t="s">
        <x:v>306</x:v>
      </x:c>
      <x:c r="E71" s="21">
        <x:v>61</x:v>
      </x:c>
      <x:c r="F71" s="21">
        <x:v>0</x:v>
      </x:c>
      <x:c r="G71" t="s">
        <x:v>307</x:v>
      </x:c>
      <x:c r="H71" t="n">
        <x:f>IFERROR(SUM(F6:F66)/COUNT(F6:F66),0)</x:f>
        <x:v>4.491803278688525</x:v>
      </x:c>
    </x:row>
    <x:row r="72">
      <x:c r="D72" s="21" t="s">
        <x:v>308</x:v>
      </x:c>
      <x:c r="E72" s="21">
        <x:v>1</x:v>
      </x:c>
      <x:c r="F72" s="21" t="s">
        <x:v>309</x:v>
      </x:c>
    </x:row>
  </x:sheetData>
  <x:mergeCells>
    <x:mergeCell ref="A1:H1"/>
    <x:mergeCell ref="A2:H2"/>
    <x:mergeCell ref="A67:H67"/>
  </x:mergeCells>
  <x:conditionalFormatting sqref="C6:C60">
    <x:cfRule type="expression" dxfId="7" priority="1">
      <x:formula>C6="Ambiguo"</x:formula>
    </x:cfRule>
    <x:cfRule type="expression" dxfId="6" priority="2">
      <x:formula>C6="No ambiguo"</x:formula>
    </x:cfRule>
  </x:conditionalFormatting>
  <x:conditionalFormatting sqref="C6:C66">
    <x:cfRule type="expression" dxfId="5" priority="3">
      <x:formula>C6="No ambiguo"</x:formula>
    </x:cfRule>
    <x:cfRule type="expression" dxfId="4" priority="4">
      <x:formula>C6="Ambiguo"</x:formula>
    </x:cfRule>
  </x:conditionalFormatting>
  <x:dataValidations count="5">
    <x:dataValidation type="list" sqref="C6:C66">
      <x:formula1>"Ambiguo,No ambiguo"</x:formula1>
    </x:dataValidation>
    <x:dataValidation type="list" sqref="D6:D60">
      <x:formula1>"Ninguno,Cuantificador vago,Conjunción múltiple,Voz pasiva / sujeto ausente,Terminología imprecisa,Requisito no verificable / incompleto,Otro"</x:formula1>
    </x:dataValidation>
    <x:dataValidation type="whole" sqref="F6:F60">
      <x:formula1>1</x:formula1>
      <x:formula2>5</x:formula2>
    </x:dataValidation>
    <x:dataValidation type="list" sqref="D6:D66">
      <x:formula1>"Ninguno,Cuantificador vago,Conjunción múltiple,Voz pasiva / sujeto ausente,Terminología imprecisa,Requisito no verificable / incompleto"</x:formula1>
    </x:dataValidation>
    <x:dataValidation type="list" sqref="F6:F66">
      <x:formula1>"1,2,3,4,5"</x:formula1>
    </x:dataValidation>
  </x:dataValidations>
  <x:pageMargins left="0.7" right="0.7" top="0.75" bottom="0.75" header="0.3" footer="0.3"/>
</x:worksheet>
</file>

<file path=xl/worksheets/sheet6.xml><?xml version="1.0" encoding="utf-8"?>
<x:worksheet xmlns:x="http://schemas.openxmlformats.org/spreadsheetml/2006/main">
  <x:sheetFormatPr baseColWidth="10" defaultColWidth="9.140625" defaultRowHeight="15"/>
  <x:cols>
    <x:col min="1" max="1" width="14" customWidth="1"/>
    <x:col min="2" max="2" width="64" customWidth="1"/>
    <x:col min="3" max="3" width="16" customWidth="1"/>
    <x:col min="4" max="4" width="29" customWidth="1"/>
    <x:col min="5" max="5" width="52" customWidth="1"/>
    <x:col min="6" max="6" width="13" customWidth="1"/>
    <x:col min="7" max="7" width="34" customWidth="1"/>
    <x:col min="8" max="8" width="14" customWidth="1"/>
  </x:cols>
  <x:sheetData>
    <x:row r="1" ht="26.100000381469727" customHeight="1">
      <x:c r="A1" s="69" t="s">
        <x:v>181</x:v>
      </x:c>
      <x:c r="B1" s="69"/>
      <x:c r="C1" s="69"/>
      <x:c r="D1" s="69"/>
      <x:c r="E1" s="69"/>
      <x:c r="F1" s="69"/>
      <x:c r="G1" s="69"/>
      <x:c r="H1" s="69"/>
    </x:row>
    <x:row r="2" ht="21.950000762939453" customHeight="1">
      <x:c r="A2" s="68" t="s">
        <x:v>312</x:v>
      </x:c>
      <x:c r="B2" s="68"/>
      <x:c r="C2" s="68"/>
      <x:c r="D2" s="68"/>
      <x:c r="E2" s="68"/>
      <x:c r="F2" s="68"/>
      <x:c r="G2" s="68"/>
      <x:c r="H2" s="68"/>
    </x:row>
    <x:row r="4" ht="33.95000076293945" customHeight="1">
      <x:c r="A4" s="14" t="s">
        <x:v>36</x:v>
      </x:c>
      <x:c r="B4" s="15" t="s">
        <x:v>183</x:v>
      </x:c>
      <x:c r="C4" s="15" t="s">
        <x:v>184</x:v>
      </x:c>
      <x:c r="D4" s="15" t="s">
        <x:v>185</x:v>
      </x:c>
      <x:c r="E4" s="15" t="s">
        <x:v>186</x:v>
      </x:c>
      <x:c r="F4" s="15" t="s">
        <x:v>187</x:v>
      </x:c>
      <x:c r="G4" s="15" t="s">
        <x:v>188</x:v>
      </x:c>
      <x:c r="H4" s="16" t="s">
        <x:v>189</x:v>
      </x:c>
    </x:row>
    <x:row r="5" ht="81.94999694824219" customHeight="1">
      <x:c r="A5" s="17" t="s">
        <x:v>190</x:v>
      </x:c>
      <x:c r="B5" s="18" t="s">
        <x:v>191</x:v>
      </x:c>
      <x:c r="C5" s="18" t="s">
        <x:v>50</x:v>
      </x:c>
      <x:c r="D5" s="18" t="s">
        <x:v>192</x:v>
      </x:c>
      <x:c r="E5" s="18" t="s">
        <x:v>193</x:v>
      </x:c>
      <x:c r="F5" s="18">
        <x:v>5</x:v>
      </x:c>
      <x:c r="G5" s="18" t="s">
        <x:v>194</x:v>
      </x:c>
      <x:c r="H5" s="19" t="s">
        <x:v>195</x:v>
      </x:c>
    </x:row>
    <x:row r="6" ht="54.95000076293945" customHeight="1">
      <x:c r="A6" s="51" t="s">
        <x:v>47</x:v>
      </x:c>
      <x:c r="B6" s="52" t="s">
        <x:v>196</x:v>
      </x:c>
      <x:c r="C6" s="53" t="s">
        <x:v>50</x:v>
      </x:c>
      <x:c r="D6" s="53" t="s">
        <x:v>192</x:v>
      </x:c>
      <x:c r="E6" s="52" t="str">
        <x:v>La redacción contiene actor, acción y condiciones suficientes para plantear una verificación objetiva.</x:v>
      </x:c>
      <x:c r="F6" s="53">
        <x:v>4</x:v>
      </x:c>
      <x:c r="G6" s="52" t="s">
        <x:v>313</x:v>
      </x:c>
      <x:c r="H6" s="54" t="s">
        <x:v>211</x:v>
      </x:c>
    </x:row>
    <x:row r="7" ht="54.95000076293945" customHeight="1">
      <x:c r="A7" s="55" t="s">
        <x:v>52</x:v>
      </x:c>
      <x:c r="B7" s="56" t="s">
        <x:v>199</x:v>
      </x:c>
      <x:c r="C7" s="57" t="s">
        <x:v>55</x:v>
      </x:c>
      <x:c r="D7" s="57" t="s">
        <x:v>30</x:v>
      </x:c>
      <x:c r="E7" s="56" t="str">
        <x:v>El enunciado resulta ambiguo porque la «entrega correcta» no define tiempo máximo, acuse de recibo ni condición objetiva para declarar éxito o pérdida.</x:v>
      </x:c>
      <x:c r="F7" s="57">
        <x:v>3</x:v>
      </x:c>
      <x:c r="G7" s="56" t="s">
        <x:v>313</x:v>
      </x:c>
      <x:c r="H7" s="58" t="s">
        <x:v>201</x:v>
      </x:c>
    </x:row>
    <x:row r="8" ht="54.95000076293945" customHeight="1">
      <x:c r="A8" s="55" t="s">
        <x:v>57</x:v>
      </x:c>
      <x:c r="B8" s="56" t="s">
        <x:v>202</x:v>
      </x:c>
      <x:c r="C8" s="57" t="s">
        <x:v>55</x:v>
      </x:c>
      <x:c r="D8" s="57" t="s">
        <x:v>30</x:v>
      </x:c>
      <x:c r="E8" s="56" t="str">
        <x:v>La ambigüedad radica en que enumera factores de compatibilidad, pero no define el método, la escala ni el resultado mínimo esperado para comprobar la evaluación.</x:v>
      </x:c>
      <x:c r="F8" s="57">
        <x:v>4</x:v>
      </x:c>
      <x:c r="G8" s="56" t="s">
        <x:v>313</x:v>
      </x:c>
      <x:c r="H8" s="58" t="s">
        <x:v>201</x:v>
      </x:c>
    </x:row>
    <x:row r="9" ht="54.95000076293945" customHeight="1">
      <x:c r="A9" s="55" t="s">
        <x:v>60</x:v>
      </x:c>
      <x:c r="B9" s="56" t="s">
        <x:v>204</x:v>
      </x:c>
      <x:c r="C9" s="57" t="s">
        <x:v>50</x:v>
      </x:c>
      <x:c r="D9" s="57" t="s">
        <x:v>192</x:v>
      </x:c>
      <x:c r="E9" s="56" t="str">
        <x:v>La formulación permite comprobar que incluye una métrica, umbral, plataforma o condición objetiva que permite comprobar su cumplimiento.</x:v>
      </x:c>
      <x:c r="F9" s="57">
        <x:v>5</x:v>
      </x:c>
      <x:c r="G9" s="56" t="s">
        <x:v>313</x:v>
      </x:c>
      <x:c r="H9" s="58" t="s">
        <x:v>201</x:v>
      </x:c>
    </x:row>
    <x:row r="10" ht="69.94999694824219" customHeight="1">
      <x:c r="A10" s="55" t="s">
        <x:v>62</x:v>
      </x:c>
      <x:c r="B10" s="56" t="s">
        <x:v>206</x:v>
      </x:c>
      <x:c r="C10" s="57" t="s">
        <x:v>50</x:v>
      </x:c>
      <x:c r="D10" s="57" t="s">
        <x:v>192</x:v>
      </x:c>
      <x:c r="E10" s="56" t="str">
        <x:v>La revisión confirma que la restricción técnica u organizativa establece un mecanismo, tecnología o condición concreta aplicable al diseño.</x:v>
      </x:c>
      <x:c r="F10" s="57">
        <x:v>5</x:v>
      </x:c>
      <x:c r="G10" s="56" t="s">
        <x:v>313</x:v>
      </x:c>
      <x:c r="H10" s="58" t="s">
        <x:v>201</x:v>
      </x:c>
    </x:row>
    <x:row r="11" ht="69.94999694824219" customHeight="1">
      <x:c r="A11" s="55" t="s">
        <x:v>66</x:v>
      </x:c>
      <x:c r="B11" s="56" t="s">
        <x:v>208</x:v>
      </x:c>
      <x:c r="C11" s="57" t="s">
        <x:v>50</x:v>
      </x:c>
      <x:c r="D11" s="57" t="s">
        <x:v>192</x:v>
      </x:c>
      <x:c r="E11" s="56" t="str">
        <x:v>El análisis determina que incluye una métrica, umbral, plataforma o condición objetiva que permite comprobar su cumplimiento.</x:v>
      </x:c>
      <x:c r="F11" s="57">
        <x:v>5</x:v>
      </x:c>
      <x:c r="G11" s="56" t="s">
        <x:v>313</x:v>
      </x:c>
      <x:c r="H11" s="58" t="s">
        <x:v>201</x:v>
      </x:c>
    </x:row>
    <x:row r="12" ht="69.94999694824219" customHeight="1">
      <x:c r="A12" s="55" t="s">
        <x:v>68</x:v>
      </x:c>
      <x:c r="B12" s="56" t="s">
        <x:v>209</x:v>
      </x:c>
      <x:c r="C12" s="57" t="s">
        <x:v>55</x:v>
      </x:c>
      <x:c r="D12" s="57" t="s">
        <x:v>27</x:v>
      </x:c>
      <x:c r="E12" s="56" t="str">
        <x:v>En este requisito, la expresión «corresponda visualmente» y la categoría «ofensivo» pueden interpretarse de forma distinta si la política no define ejemplos o umbrales.</x:v>
      </x:c>
      <x:c r="F12" s="57">
        <x:v>4</x:v>
      </x:c>
      <x:c r="G12" s="56" t="s">
        <x:v>313</x:v>
      </x:c>
      <x:c r="H12" s="58" t="s">
        <x:v>211</x:v>
      </x:c>
    </x:row>
    <x:row r="13" ht="54.95000076293945" customHeight="1">
      <x:c r="A13" s="55" t="s">
        <x:v>70</x:v>
      </x:c>
      <x:c r="B13" s="56" t="s">
        <x:v>212</x:v>
      </x:c>
      <x:c r="C13" s="57" t="s">
        <x:v>50</x:v>
      </x:c>
      <x:c r="D13" s="57" t="s">
        <x:v>192</x:v>
      </x:c>
      <x:c r="E13" s="56" t="str">
        <x:v>La formulación permite apreciar que define el documento requerido, su vigencia y la condición previa para habilitar adopción o cruza.</x:v>
      </x:c>
      <x:c r="F13" s="57">
        <x:v>5</x:v>
      </x:c>
      <x:c r="G13" s="56" t="s">
        <x:v>313</x:v>
      </x:c>
      <x:c r="H13" s="58" t="s">
        <x:v>211</x:v>
      </x:c>
    </x:row>
    <x:row r="14" ht="54.95000076293945" customHeight="1">
      <x:c r="A14" s="55" t="s">
        <x:v>72</x:v>
      </x:c>
      <x:c r="B14" s="56" t="s">
        <x:v>214</x:v>
      </x:c>
      <x:c r="C14" s="57" t="s">
        <x:v>50</x:v>
      </x:c>
      <x:c r="D14" s="57" t="s">
        <x:v>192</x:v>
      </x:c>
      <x:c r="E14" s="56" t="str">
        <x:v>La revisión muestra que fija tiempo máximo, percentil, carga nominal y delimita expresamente el entorno donde debe medirse.</x:v>
      </x:c>
      <x:c r="F14" s="57">
        <x:v>5</x:v>
      </x:c>
      <x:c r="G14" s="56" t="s">
        <x:v>313</x:v>
      </x:c>
      <x:c r="H14" s="58" t="s">
        <x:v>211</x:v>
      </x:c>
    </x:row>
    <x:row r="15" ht="54.95000076293945" customHeight="1">
      <x:c r="A15" s="55" t="s">
        <x:v>74</x:v>
      </x:c>
      <x:c r="B15" s="56" t="s">
        <x:v>216</x:v>
      </x:c>
      <x:c r="C15" s="57" t="s">
        <x:v>50</x:v>
      </x:c>
      <x:c r="D15" s="57" t="s">
        <x:v>192</x:v>
      </x:c>
      <x:c r="E15" s="56" t="str">
        <x:v>El análisis evidencia que especifica navegadores, versiones y los dos tipos de pantalla sobre los que debe comprobarse la adaptación.</x:v>
      </x:c>
      <x:c r="F15" s="57">
        <x:v>4</x:v>
      </x:c>
      <x:c r="G15" s="56" t="s">
        <x:v>313</x:v>
      </x:c>
      <x:c r="H15" s="58" t="s">
        <x:v>211</x:v>
      </x:c>
    </x:row>
    <x:row r="16" ht="54.95000076293945" customHeight="1">
      <x:c r="A16" s="55" t="s">
        <x:v>76</x:v>
      </x:c>
      <x:c r="B16" s="56" t="s">
        <x:v>218</x:v>
      </x:c>
      <x:c r="C16" s="57" t="s">
        <x:v>55</x:v>
      </x:c>
      <x:c r="D16" s="57" t="s">
        <x:v>21</x:v>
      </x:c>
      <x:c r="E16" s="56" t="str">
        <x:v>La ambigüedad radica en que agrupa el deber de información y el derecho de acceso gratuito en un mismo enunciado, aunque requieren verificaciones diferentes.</x:v>
      </x:c>
      <x:c r="F16" s="57">
        <x:v>4</x:v>
      </x:c>
      <x:c r="G16" s="56" t="s">
        <x:v>313</x:v>
      </x:c>
      <x:c r="H16" s="58" t="s">
        <x:v>201</x:v>
      </x:c>
    </x:row>
    <x:row r="17" ht="69.94999694824219" customHeight="1">
      <x:c r="A17" s="55" t="s">
        <x:v>80</x:v>
      </x:c>
      <x:c r="B17" s="56" t="s">
        <x:v>220</x:v>
      </x:c>
      <x:c r="C17" s="57" t="s">
        <x:v>50</x:v>
      </x:c>
      <x:c r="D17" s="57" t="s">
        <x:v>192</x:v>
      </x:c>
      <x:c r="E17" s="56" t="str">
        <x:v>La formulación permite apreciar que define el disparador, destinatario, categorías del motivo y forma de explicación que debe producir el sistema.</x:v>
      </x:c>
      <x:c r="F17" s="57">
        <x:v>4</x:v>
      </x:c>
      <x:c r="G17" s="56" t="s">
        <x:v>313</x:v>
      </x:c>
      <x:c r="H17" s="58" t="s">
        <x:v>211</x:v>
      </x:c>
    </x:row>
    <x:row r="18" ht="69.94999694824219" customHeight="1">
      <x:c r="A18" s="55" t="s">
        <x:v>82</x:v>
      </x:c>
      <x:c r="B18" s="56" t="s">
        <x:v>222</x:v>
      </x:c>
      <x:c r="C18" s="57" t="s">
        <x:v>50</x:v>
      </x:c>
      <x:c r="D18" s="57" t="s">
        <x:v>192</x:v>
      </x:c>
      <x:c r="E18" s="56" t="str">
        <x:v>La revisión confirma que incluye una métrica, umbral, plataforma o condición objetiva que permite comprobar su cumplimiento.</x:v>
      </x:c>
      <x:c r="F18" s="57">
        <x:v>5</x:v>
      </x:c>
      <x:c r="G18" s="56" t="s">
        <x:v>313</x:v>
      </x:c>
      <x:c r="H18" s="58" t="s">
        <x:v>201</x:v>
      </x:c>
    </x:row>
    <x:row r="19" ht="54.95000076293945" customHeight="1">
      <x:c r="A19" s="55" t="s">
        <x:v>84</x:v>
      </x:c>
      <x:c r="B19" s="56" t="s">
        <x:v>223</x:v>
      </x:c>
      <x:c r="C19" s="57" t="s">
        <x:v>50</x:v>
      </x:c>
      <x:c r="D19" s="57" t="s">
        <x:v>192</x:v>
      </x:c>
      <x:c r="E19" s="56" t="str">
        <x:v>El análisis determina que la función, los datos o condiciones principales y el resultado esperado están suficientemente delimitados para diseñar una prueba funcional.</x:v>
      </x:c>
      <x:c r="F19" s="57">
        <x:v>5</x:v>
      </x:c>
      <x:c r="G19" s="56" t="s">
        <x:v>313</x:v>
      </x:c>
      <x:c r="H19" s="58" t="s">
        <x:v>201</x:v>
      </x:c>
    </x:row>
    <x:row r="20" ht="54.95000076293945" customHeight="1">
      <x:c r="A20" s="55" t="s">
        <x:v>86</x:v>
      </x:c>
      <x:c r="B20" s="56" t="s">
        <x:v>225</x:v>
      </x:c>
      <x:c r="C20" s="57" t="s">
        <x:v>50</x:v>
      </x:c>
      <x:c r="D20" s="57" t="s">
        <x:v>192</x:v>
      </x:c>
      <x:c r="E20" s="56" t="str">
        <x:v>En este caso, la función, los datos o condiciones principales y el resultado esperado están suficientemente delimitados para diseñar una prueba funcional.</x:v>
      </x:c>
      <x:c r="F20" s="57">
        <x:v>5</x:v>
      </x:c>
      <x:c r="G20" s="56" t="s">
        <x:v>313</x:v>
      </x:c>
      <x:c r="H20" s="58" t="s">
        <x:v>201</x:v>
      </x:c>
    </x:row>
    <x:row r="21" ht="54.95000076293945" customHeight="1">
      <x:c r="A21" s="55" t="s">
        <x:v>88</x:v>
      </x:c>
      <x:c r="B21" s="56" t="s">
        <x:v>226</x:v>
      </x:c>
      <x:c r="C21" s="57" t="s">
        <x:v>50</x:v>
      </x:c>
      <x:c r="D21" s="57" t="s">
        <x:v>192</x:v>
      </x:c>
      <x:c r="E21" s="56" t="str">
        <x:v>La formulación permite comprobar que la función, los datos o condiciones principales y el resultado esperado están suficientemente delimitados para diseñar una prueba funcional.</x:v>
      </x:c>
      <x:c r="F21" s="57">
        <x:v>5</x:v>
      </x:c>
      <x:c r="G21" s="56" t="s">
        <x:v>313</x:v>
      </x:c>
      <x:c r="H21" s="58" t="s">
        <x:v>201</x:v>
      </x:c>
    </x:row>
    <x:row r="22" ht="54.95000076293945" customHeight="1">
      <x:c r="A22" s="55" t="s">
        <x:v>90</x:v>
      </x:c>
      <x:c r="B22" s="56" t="s">
        <x:v>227</x:v>
      </x:c>
      <x:c r="C22" s="57" t="s">
        <x:v>50</x:v>
      </x:c>
      <x:c r="D22" s="57" t="s">
        <x:v>192</x:v>
      </x:c>
      <x:c r="E22" s="56" t="str">
        <x:v>La revisión muestra que establece dos condiciones objetivas de activación de la alerta: diferencia de peso superior al 40 % o enfermedad contagiosa activa.</x:v>
      </x:c>
      <x:c r="F22" s="57">
        <x:v>5</x:v>
      </x:c>
      <x:c r="G22" s="56" t="s">
        <x:v>313</x:v>
      </x:c>
      <x:c r="H22" s="58" t="s">
        <x:v>211</x:v>
      </x:c>
    </x:row>
    <x:row r="23" ht="69.94999694824219" customHeight="1">
      <x:c r="A23" s="55" t="s">
        <x:v>92</x:v>
      </x:c>
      <x:c r="B23" s="56" t="s">
        <x:v>229</x:v>
      </x:c>
      <x:c r="C23" s="57" t="s">
        <x:v>55</x:v>
      </x:c>
      <x:c r="D23" s="57" t="s">
        <x:v>30</x:v>
      </x:c>
      <x:c r="E23" s="56" t="str">
        <x:v>El enunciado resulta ambiguo porque los principios de protección desde el diseño y por defecto son amplios y no se traducen en controles verificables concretos.</x:v>
      </x:c>
      <x:c r="F23" s="57">
        <x:v>4</x:v>
      </x:c>
      <x:c r="G23" s="56" t="s">
        <x:v>313</x:v>
      </x:c>
      <x:c r="H23" s="58" t="s">
        <x:v>201</x:v>
      </x:c>
    </x:row>
    <x:row r="24" ht="54.95000076293945" customHeight="1">
      <x:c r="A24" s="55" t="s">
        <x:v>94</x:v>
      </x:c>
      <x:c r="B24" s="56" t="s">
        <x:v>231</x:v>
      </x:c>
      <x:c r="C24" s="57" t="s">
        <x:v>50</x:v>
      </x:c>
      <x:c r="D24" s="57" t="s">
        <x:v>192</x:v>
      </x:c>
      <x:c r="E24" s="56" t="str">
        <x:v>En este caso, la obligación legal identifica el derecho o deber aplicable y establece condiciones suficientemente explícitas para su verificación.</x:v>
      </x:c>
      <x:c r="F24" s="57">
        <x:v>5</x:v>
      </x:c>
      <x:c r="G24" s="56" t="s">
        <x:v>313</x:v>
      </x:c>
      <x:c r="H24" s="58" t="s">
        <x:v>201</x:v>
      </x:c>
    </x:row>
    <x:row r="25" ht="69.94999694824219" customHeight="1">
      <x:c r="A25" s="55" t="s">
        <x:v>96</x:v>
      </x:c>
      <x:c r="B25" s="56" t="s">
        <x:v>233</x:v>
      </x:c>
      <x:c r="C25" s="57" t="s">
        <x:v>50</x:v>
      </x:c>
      <x:c r="D25" s="57" t="s">
        <x:v>192</x:v>
      </x:c>
      <x:c r="E25" s="56" t="str">
        <x:v>La formulación permite apreciar que enumera de forma concreta los componentes del historial médico que deben poder registrarse.</x:v>
      </x:c>
      <x:c r="F25" s="57">
        <x:v>5</x:v>
      </x:c>
      <x:c r="G25" s="56" t="s">
        <x:v>313</x:v>
      </x:c>
      <x:c r="H25" s="58" t="s">
        <x:v>211</x:v>
      </x:c>
    </x:row>
    <x:row r="26" ht="54.95000076293945" customHeight="1">
      <x:c r="A26" s="55" t="s">
        <x:v>98</x:v>
      </x:c>
      <x:c r="B26" s="56" t="s">
        <x:v>235</x:v>
      </x:c>
      <x:c r="C26" s="57" t="s">
        <x:v>55</x:v>
      </x:c>
      <x:c r="D26" s="57" t="s">
        <x:v>18</x:v>
      </x:c>
      <x:c r="E26" s="56" t="str">
        <x:v>Existe ambigüedad debido a que la expresión «dentro de un plazo definido» no establece el número de días para ejecutar la supresión o anonimización.</x:v>
      </x:c>
      <x:c r="F26" s="57">
        <x:v>4</x:v>
      </x:c>
      <x:c r="G26" s="56" t="s">
        <x:v>313</x:v>
      </x:c>
      <x:c r="H26" s="58" t="s">
        <x:v>201</x:v>
      </x:c>
    </x:row>
    <x:row r="27" ht="54.95000076293945" customHeight="1">
      <x:c r="A27" s="55" t="s">
        <x:v>100</x:v>
      </x:c>
      <x:c r="B27" s="56" t="s">
        <x:v>237</x:v>
      </x:c>
      <x:c r="C27" s="57" t="s">
        <x:v>50</x:v>
      </x:c>
      <x:c r="D27" s="57" t="s">
        <x:v>192</x:v>
      </x:c>
      <x:c r="E27" s="56" t="str">
        <x:v>El análisis evidencia que la precisión de validación está definida mediante el criterio cuantitativo establecido en la redacción vigente.</x:v>
      </x:c>
      <x:c r="F27" s="57">
        <x:v>4</x:v>
      </x:c>
      <x:c r="G27" s="56" t="s">
        <x:v>313</x:v>
      </x:c>
      <x:c r="H27" s="58" t="s">
        <x:v>211</x:v>
      </x:c>
    </x:row>
    <x:row r="28" ht="54.95000076293945" customHeight="1">
      <x:c r="A28" s="55" t="s">
        <x:v>102</x:v>
      </x:c>
      <x:c r="B28" s="56" t="s">
        <x:v>239</x:v>
      </x:c>
      <x:c r="C28" s="57" t="s">
        <x:v>50</x:v>
      </x:c>
      <x:c r="D28" s="57" t="s">
        <x:v>192</x:v>
      </x:c>
      <x:c r="E28" s="56" t="str">
        <x:v>En este requisito, delimita la condición sanitaria o física que activa la alerta y el momento funcional en que debe mostrarse.</x:v>
      </x:c>
      <x:c r="F28" s="57">
        <x:v>4</x:v>
      </x:c>
      <x:c r="G28" s="56" t="s">
        <x:v>313</x:v>
      </x:c>
      <x:c r="H28" s="58" t="s">
        <x:v>211</x:v>
      </x:c>
    </x:row>
    <x:row r="29" ht="69.94999694824219" customHeight="1">
      <x:c r="A29" s="55" t="s">
        <x:v>104</x:v>
      </x:c>
      <x:c r="B29" s="56" t="s">
        <x:v>241</x:v>
      </x:c>
      <x:c r="C29" s="57" t="s">
        <x:v>50</x:v>
      </x:c>
      <x:c r="D29" s="57" t="s">
        <x:v>192</x:v>
      </x:c>
      <x:c r="E29" s="56" t="str">
        <x:v>La formulación permite apreciar que especifica los datos de trazabilidad de la vacuna y permite comprobar su registro y consulta.</x:v>
      </x:c>
      <x:c r="F29" s="57">
        <x:v>5</x:v>
      </x:c>
      <x:c r="G29" s="56" t="s">
        <x:v>313</x:v>
      </x:c>
      <x:c r="H29" s="58" t="s">
        <x:v>211</x:v>
      </x:c>
    </x:row>
    <x:row r="30" ht="69.94999694824219" customHeight="1">
      <x:c r="A30" s="55" t="s">
        <x:v>106</x:v>
      </x:c>
      <x:c r="B30" s="56" t="s">
        <x:v>243</x:v>
      </x:c>
      <x:c r="C30" s="57" t="s">
        <x:v>50</x:v>
      </x:c>
      <x:c r="D30" s="57" t="s">
        <x:v>192</x:v>
      </x:c>
      <x:c r="E30" s="56" t="str">
        <x:v>La revisión muestra que define actor, contenido del aviso y finalidad de publicación pública de la mascota extraviada.</x:v>
      </x:c>
      <x:c r="F30" s="57">
        <x:v>5</x:v>
      </x:c>
      <x:c r="G30" s="56" t="s">
        <x:v>313</x:v>
      </x:c>
      <x:c r="H30" s="58" t="s">
        <x:v>211</x:v>
      </x:c>
    </x:row>
    <x:row r="31" ht="54.95000076293945" customHeight="1">
      <x:c r="A31" s="55" t="s">
        <x:v>108</x:v>
      </x:c>
      <x:c r="B31" s="56" t="s">
        <x:v>245</x:v>
      </x:c>
      <x:c r="C31" s="57" t="s">
        <x:v>55</x:v>
      </x:c>
      <x:c r="D31" s="57" t="s">
        <x:v>27</x:v>
      </x:c>
      <x:c r="E31" s="56" t="str">
        <x:v>El enunciado resulta ambiguo porque el verbo «validar» puede significar revisión documental, certificación profesional o confirmación clínica, sin delimitar su alcance.</x:v>
      </x:c>
      <x:c r="F31" s="57">
        <x:v>4</x:v>
      </x:c>
      <x:c r="G31" s="56" t="s">
        <x:v>313</x:v>
      </x:c>
      <x:c r="H31" s="58" t="s">
        <x:v>201</x:v>
      </x:c>
    </x:row>
    <x:row r="32" ht="54.95000076293945" customHeight="1">
      <x:c r="A32" s="55" t="s">
        <x:v>110</x:v>
      </x:c>
      <x:c r="B32" s="56" t="s">
        <x:v>247</x:v>
      </x:c>
      <x:c r="C32" s="57" t="s">
        <x:v>50</x:v>
      </x:c>
      <x:c r="D32" s="57" t="s">
        <x:v>192</x:v>
      </x:c>
      <x:c r="E32" s="56" t="str">
        <x:v>En este caso, la función, los datos o condiciones principales y el resultado esperado están suficientemente delimitados para diseñar una prueba funcional.</x:v>
      </x:c>
      <x:c r="F32" s="57">
        <x:v>5</x:v>
      </x:c>
      <x:c r="G32" s="56" t="s">
        <x:v>313</x:v>
      </x:c>
      <x:c r="H32" s="58" t="s">
        <x:v>201</x:v>
      </x:c>
    </x:row>
    <x:row r="33" ht="54.95000076293945" customHeight="1">
      <x:c r="A33" s="55" t="s">
        <x:v>112</x:v>
      </x:c>
      <x:c r="B33" s="56" t="s">
        <x:v>248</x:v>
      </x:c>
      <x:c r="C33" s="57" t="s">
        <x:v>50</x:v>
      </x:c>
      <x:c r="D33" s="57" t="s">
        <x:v>192</x:v>
      </x:c>
      <x:c r="E33" s="56" t="str">
        <x:v>La formulación permite comprobar que la obligación legal identifica el derecho o deber aplicable y establece condiciones suficientemente explícitas para su verificación.</x:v>
      </x:c>
      <x:c r="F33" s="57">
        <x:v>5</x:v>
      </x:c>
      <x:c r="G33" s="56" t="s">
        <x:v>313</x:v>
      </x:c>
      <x:c r="H33" s="58" t="s">
        <x:v>201</x:v>
      </x:c>
    </x:row>
    <x:row r="34" ht="54.95000076293945" customHeight="1">
      <x:c r="A34" s="55" t="s">
        <x:v>114</x:v>
      </x:c>
      <x:c r="B34" s="56" t="s">
        <x:v>249</x:v>
      </x:c>
      <x:c r="C34" s="57" t="s">
        <x:v>50</x:v>
      </x:c>
      <x:c r="D34" s="57" t="s">
        <x:v>192</x:v>
      </x:c>
      <x:c r="E34" s="56" t="str">
        <x:v>La revisión muestra que la redacción establece una condición cuantificable y un resultado observable para la evaluación.</x:v>
      </x:c>
      <x:c r="F34" s="57">
        <x:v>4</x:v>
      </x:c>
      <x:c r="G34" s="56" t="s">
        <x:v>313</x:v>
      </x:c>
      <x:c r="H34" s="58" t="s">
        <x:v>211</x:v>
      </x:c>
    </x:row>
    <x:row r="35" ht="54.95000076293945" customHeight="1">
      <x:c r="A35" s="55" t="s">
        <x:v>116</x:v>
      </x:c>
      <x:c r="B35" s="56" t="s">
        <x:v>251</x:v>
      </x:c>
      <x:c r="C35" s="57" t="s">
        <x:v>50</x:v>
      </x:c>
      <x:c r="D35" s="57" t="s">
        <x:v>192</x:v>
      </x:c>
      <x:c r="E35" s="56" t="str">
        <x:v>El análisis evidencia que los elementos funcionales y la condición de cumplimiento están suficientemente delimitados para una prueba.</x:v>
      </x:c>
      <x:c r="F35" s="57">
        <x:v>4</x:v>
      </x:c>
      <x:c r="G35" s="56" t="s">
        <x:v>313</x:v>
      </x:c>
      <x:c r="H35" s="58" t="s">
        <x:v>211</x:v>
      </x:c>
    </x:row>
    <x:row r="36" ht="54.95000076293945" customHeight="1">
      <x:c r="A36" s="55" t="s">
        <x:v>118</x:v>
      </x:c>
      <x:c r="B36" s="56" t="s">
        <x:v>253</x:v>
      </x:c>
      <x:c r="C36" s="57" t="s">
        <x:v>50</x:v>
      </x:c>
      <x:c r="D36" s="57" t="s">
        <x:v>192</x:v>
      </x:c>
      <x:c r="E36" s="56" t="str">
        <x:v>En este caso, la restricción técnica u organizativa establece un mecanismo, tecnología o condición concreta aplicable al diseño.</x:v>
      </x:c>
      <x:c r="F36" s="57">
        <x:v>5</x:v>
      </x:c>
      <x:c r="G36" s="56" t="s">
        <x:v>313</x:v>
      </x:c>
      <x:c r="H36" s="58" t="s">
        <x:v>201</x:v>
      </x:c>
    </x:row>
    <x:row r="37" ht="54.95000076293945" customHeight="1">
      <x:c r="A37" s="55" t="s">
        <x:v>120</x:v>
      </x:c>
      <x:c r="B37" s="56" t="s">
        <x:v>191</x:v>
      </x:c>
      <x:c r="C37" s="57" t="s">
        <x:v>50</x:v>
      </x:c>
      <x:c r="D37" s="57" t="s">
        <x:v>192</x:v>
      </x:c>
      <x:c r="E37" s="56" t="str">
        <x:v>La formulación permite comprobar que la función, los datos o condiciones principales y el resultado esperado están suficientemente delimitados para diseñar una prueba funcional.</x:v>
      </x:c>
      <x:c r="F37" s="57">
        <x:v>5</x:v>
      </x:c>
      <x:c r="G37" s="56" t="s">
        <x:v>313</x:v>
      </x:c>
      <x:c r="H37" s="58" t="s">
        <x:v>201</x:v>
      </x:c>
    </x:row>
    <x:row r="38" ht="54.95000076293945" customHeight="1">
      <x:c r="A38" s="55" t="s">
        <x:v>122</x:v>
      </x:c>
      <x:c r="B38" s="56" t="s">
        <x:v>254</x:v>
      </x:c>
      <x:c r="C38" s="57" t="s">
        <x:v>55</x:v>
      </x:c>
      <x:c r="D38" s="57" t="s">
        <x:v>27</x:v>
      </x:c>
      <x:c r="E38" s="56" t="str">
        <x:v>Existe ambigüedad debido a que los conceptos «módulos independientes» y «facilitar el mantenimiento» no incluyen criterios técnicos para medir el desacoplamiento.</x:v>
      </x:c>
      <x:c r="F38" s="57">
        <x:v>4</x:v>
      </x:c>
      <x:c r="G38" s="56" t="s">
        <x:v>313</x:v>
      </x:c>
      <x:c r="H38" s="58" t="s">
        <x:v>201</x:v>
      </x:c>
    </x:row>
    <x:row r="39" ht="54.95000076293945" customHeight="1">
      <x:c r="A39" s="55" t="s">
        <x:v>124</x:v>
      </x:c>
      <x:c r="B39" s="56" t="s">
        <x:v>256</x:v>
      </x:c>
      <x:c r="C39" s="57" t="s">
        <x:v>50</x:v>
      </x:c>
      <x:c r="D39" s="57" t="s">
        <x:v>192</x:v>
      </x:c>
      <x:c r="E39" s="56" t="str">
        <x:v>El análisis evidencia que la condición de calidad está expresada mediante un criterio objetivo que permite contrastar el cumplimiento.</x:v>
      </x:c>
      <x:c r="F39" s="57">
        <x:v>5</x:v>
      </x:c>
      <x:c r="G39" s="56" t="s">
        <x:v>313</x:v>
      </x:c>
      <x:c r="H39" s="58" t="s">
        <x:v>211</x:v>
      </x:c>
    </x:row>
    <x:row r="40" ht="54.95000076293945" customHeight="1">
      <x:c r="A40" s="55" t="s">
        <x:v>126</x:v>
      </x:c>
      <x:c r="B40" s="56" t="s">
        <x:v>258</x:v>
      </x:c>
      <x:c r="C40" s="57" t="s">
        <x:v>50</x:v>
      </x:c>
      <x:c r="D40" s="57" t="s">
        <x:v>192</x:v>
      </x:c>
      <x:c r="E40" s="56" t="str">
        <x:v>En este requisito, el requisito identifica de manera concreta la función o restricción y el resultado esperado.</x:v>
      </x:c>
      <x:c r="F40" s="57">
        <x:v>4</x:v>
      </x:c>
      <x:c r="G40" s="56" t="s">
        <x:v>313</x:v>
      </x:c>
      <x:c r="H40" s="58" t="s">
        <x:v>211</x:v>
      </x:c>
    </x:row>
    <x:row r="41" ht="54.95000076293945" customHeight="1">
      <x:c r="A41" s="55" t="s">
        <x:v>128</x:v>
      </x:c>
      <x:c r="B41" s="56" t="s">
        <x:v>260</x:v>
      </x:c>
      <x:c r="C41" s="57" t="s">
        <x:v>50</x:v>
      </x:c>
      <x:c r="D41" s="57" t="s">
        <x:v>192</x:v>
      </x:c>
      <x:c r="E41" s="56" t="str">
        <x:v>La formulación permite comprobar que la función, los datos o condiciones principales y el resultado esperado están suficientemente delimitados para diseñar una prueba funcional.</x:v>
      </x:c>
      <x:c r="F41" s="57">
        <x:v>5</x:v>
      </x:c>
      <x:c r="G41" s="56" t="s">
        <x:v>313</x:v>
      </x:c>
      <x:c r="H41" s="58" t="s">
        <x:v>201</x:v>
      </x:c>
    </x:row>
    <x:row r="42" ht="69.94999694824219" customHeight="1">
      <x:c r="A42" s="55" t="s">
        <x:v>130</x:v>
      </x:c>
      <x:c r="B42" s="56" t="s">
        <x:v>261</x:v>
      </x:c>
      <x:c r="C42" s="57" t="s">
        <x:v>55</x:v>
      </x:c>
      <x:c r="D42" s="57" t="s">
        <x:v>27</x:v>
      </x:c>
      <x:c r="E42" s="56" t="str">
        <x:v>Existe ambigüedad debido a que no define cómo se representará ni calculará el «grado de parentesco», lo que admite interpretaciones distintas.</x:v>
      </x:c>
      <x:c r="F42" s="57">
        <x:v>3</x:v>
      </x:c>
      <x:c r="G42" s="56" t="s">
        <x:v>313</x:v>
      </x:c>
      <x:c r="H42" s="58" t="s">
        <x:v>201</x:v>
      </x:c>
    </x:row>
    <x:row r="43" ht="69.94999694824219" customHeight="1">
      <x:c r="A43" s="55" t="s">
        <x:v>132</x:v>
      </x:c>
      <x:c r="B43" s="56" t="s">
        <x:v>263</x:v>
      </x:c>
      <x:c r="C43" s="57" t="s">
        <x:v>50</x:v>
      </x:c>
      <x:c r="D43" s="57" t="s">
        <x:v>192</x:v>
      </x:c>
      <x:c r="E43" s="56" t="str">
        <x:v>El análisis determina que la función, los datos o condiciones principales y el resultado esperado están suficientemente delimitados para diseñar una prueba funcional.</x:v>
      </x:c>
      <x:c r="F43" s="57">
        <x:v>5</x:v>
      </x:c>
      <x:c r="G43" s="56" t="s">
        <x:v>313</x:v>
      </x:c>
      <x:c r="H43" s="58" t="s">
        <x:v>201</x:v>
      </x:c>
    </x:row>
    <x:row r="44" ht="54.95000076293945" customHeight="1">
      <x:c r="A44" s="55" t="s">
        <x:v>134</x:v>
      </x:c>
      <x:c r="B44" s="56" t="s">
        <x:v>264</x:v>
      </x:c>
      <x:c r="C44" s="57" t="s">
        <x:v>50</x:v>
      </x:c>
      <x:c r="D44" s="57" t="s">
        <x:v>192</x:v>
      </x:c>
      <x:c r="E44" s="56" t="str">
        <x:v>En este requisito, la obligación está delimitada mediante condiciones explícitas y puede verificarse contra el comportamiento esperado.</x:v>
      </x:c>
      <x:c r="F44" s="57">
        <x:v>4</x:v>
      </x:c>
      <x:c r="G44" s="56" t="s">
        <x:v>313</x:v>
      </x:c>
      <x:c r="H44" s="58" t="s">
        <x:v>211</x:v>
      </x:c>
    </x:row>
    <x:row r="45" ht="54.95000076293945" customHeight="1">
      <x:c r="A45" s="55" t="s">
        <x:v>136</x:v>
      </x:c>
      <x:c r="B45" s="56" t="s">
        <x:v>266</x:v>
      </x:c>
      <x:c r="C45" s="57" t="s">
        <x:v>50</x:v>
      </x:c>
      <x:c r="D45" s="57" t="s">
        <x:v>192</x:v>
      </x:c>
      <x:c r="E45" s="56" t="str">
        <x:v>La formulación permite apreciar que la redacción actual acota el alcance y permite diseñar una comprobación objetiva.</x:v>
      </x:c>
      <x:c r="F45" s="57">
        <x:v>4</x:v>
      </x:c>
      <x:c r="G45" s="56" t="s">
        <x:v>313</x:v>
      </x:c>
      <x:c r="H45" s="58" t="s">
        <x:v>211</x:v>
      </x:c>
    </x:row>
    <x:row r="46" ht="54.95000076293945" customHeight="1">
      <x:c r="A46" s="55" t="s">
        <x:v>138</x:v>
      </x:c>
      <x:c r="B46" s="56" t="s">
        <x:v>268</x:v>
      </x:c>
      <x:c r="C46" s="57" t="s">
        <x:v>50</x:v>
      </x:c>
      <x:c r="D46" s="57" t="s">
        <x:v>192</x:v>
      </x:c>
      <x:c r="E46" s="56" t="str">
        <x:v>La revisión confirma que la función, los datos o condiciones principales y el resultado esperado están suficientemente delimitados para diseñar una prueba funcional.</x:v>
      </x:c>
      <x:c r="F46" s="57">
        <x:v>5</x:v>
      </x:c>
      <x:c r="G46" s="56" t="s">
        <x:v>313</x:v>
      </x:c>
      <x:c r="H46" s="58" t="s">
        <x:v>201</x:v>
      </x:c>
    </x:row>
    <x:row r="47" ht="54.95000076293945" customHeight="1">
      <x:c r="A47" s="55" t="s">
        <x:v>140</x:v>
      </x:c>
      <x:c r="B47" s="56" t="s">
        <x:v>269</x:v>
      </x:c>
      <x:c r="C47" s="57" t="s">
        <x:v>55</x:v>
      </x:c>
      <x:c r="D47" s="57" t="s">
        <x:v>21</x:v>
      </x:c>
      <x:c r="E47" s="56" t="str">
        <x:v>El enunciado resulta ambiguo porque reúne la creación de la solicitud y su aceptación o rechazo, y además usa la expresión abierta «información disponible».</x:v>
      </x:c>
      <x:c r="F47" s="57">
        <x:v>4</x:v>
      </x:c>
      <x:c r="G47" s="56" t="s">
        <x:v>313</x:v>
      </x:c>
      <x:c r="H47" s="58" t="s">
        <x:v>201</x:v>
      </x:c>
    </x:row>
    <x:row r="48" ht="54.95000076293945" customHeight="1">
      <x:c r="A48" s="55" t="s">
        <x:v>142</x:v>
      </x:c>
      <x:c r="B48" s="56" t="s">
        <x:v>271</x:v>
      </x:c>
      <x:c r="C48" s="57" t="s">
        <x:v>55</x:v>
      </x:c>
      <x:c r="D48" s="57" t="s">
        <x:v>18</x:v>
      </x:c>
      <x:c r="E48" s="56" t="str">
        <x:v>La ambigüedad radica en que la expresión «contacto periódico» no establece frecuencia, duración ni eventos mínimos del seguimiento post-adopción.</x:v>
      </x:c>
      <x:c r="F48" s="57">
        <x:v>4</x:v>
      </x:c>
      <x:c r="G48" s="56" t="s">
        <x:v>313</x:v>
      </x:c>
      <x:c r="H48" s="58" t="s">
        <x:v>201</x:v>
      </x:c>
    </x:row>
    <x:row r="49" ht="54.95000076293945" customHeight="1">
      <x:c r="A49" s="55" t="s">
        <x:v>144</x:v>
      </x:c>
      <x:c r="B49" s="56" t="s">
        <x:v>273</x:v>
      </x:c>
      <x:c r="C49" s="57" t="s">
        <x:v>50</x:v>
      </x:c>
      <x:c r="D49" s="57" t="s">
        <x:v>192</x:v>
      </x:c>
      <x:c r="E49" s="56" t="str">
        <x:v>La formulación permite comprobar que la restricción técnica u organizativa establece un mecanismo, tecnología o condición concreta aplicable al diseño.</x:v>
      </x:c>
      <x:c r="F49" s="57">
        <x:v>5</x:v>
      </x:c>
      <x:c r="G49" s="56" t="s">
        <x:v>313</x:v>
      </x:c>
      <x:c r="H49" s="58" t="s">
        <x:v>201</x:v>
      </x:c>
    </x:row>
    <x:row r="50" ht="54.95000076293945" customHeight="1">
      <x:c r="A50" s="55" t="s">
        <x:v>146</x:v>
      </x:c>
      <x:c r="B50" s="56" t="s">
        <x:v>274</x:v>
      </x:c>
      <x:c r="C50" s="57" t="s">
        <x:v>50</x:v>
      </x:c>
      <x:c r="D50" s="57" t="s">
        <x:v>192</x:v>
      </x:c>
      <x:c r="E50" s="56" t="str">
        <x:v>La revisión confirma que la obligación legal identifica el derecho o deber aplicable y establece condiciones suficientemente explícitas para su verificación.</x:v>
      </x:c>
      <x:c r="F50" s="57">
        <x:v>5</x:v>
      </x:c>
      <x:c r="G50" s="56" t="s">
        <x:v>313</x:v>
      </x:c>
      <x:c r="H50" s="58" t="s">
        <x:v>201</x:v>
      </x:c>
    </x:row>
    <x:row r="51" ht="54.95000076293945" customHeight="1">
      <x:c r="A51" s="55" t="s">
        <x:v>148</x:v>
      </x:c>
      <x:c r="B51" s="56" t="s">
        <x:v>275</x:v>
      </x:c>
      <x:c r="C51" s="57" t="s">
        <x:v>55</x:v>
      </x:c>
      <x:c r="D51" s="57" t="s">
        <x:v>18</x:v>
      </x:c>
      <x:c r="E51" s="56" t="str">
        <x:v>El enunciado resulta ambiguo porque la expresión «sin degradar significativamente» no fija un porcentaje de degradación permitido respecto de RNF-03.</x:v>
      </x:c>
      <x:c r="F51" s="57">
        <x:v>4</x:v>
      </x:c>
      <x:c r="G51" s="56" t="s">
        <x:v>313</x:v>
      </x:c>
      <x:c r="H51" s="58" t="s">
        <x:v>201</x:v>
      </x:c>
    </x:row>
    <x:row r="52" ht="54.95000076293945" customHeight="1">
      <x:c r="A52" s="55" t="s">
        <x:v>150</x:v>
      </x:c>
      <x:c r="B52" s="56" t="s">
        <x:v>277</x:v>
      </x:c>
      <x:c r="C52" s="57" t="s">
        <x:v>50</x:v>
      </x:c>
      <x:c r="D52" s="57" t="s">
        <x:v>192</x:v>
      </x:c>
      <x:c r="E52" s="56" t="str">
        <x:v>En este caso, incluye una métrica, umbral, plataforma o condición objetiva que permite comprobar su cumplimiento.</x:v>
      </x:c>
      <x:c r="F52" s="57">
        <x:v>5</x:v>
      </x:c>
      <x:c r="G52" s="56" t="s">
        <x:v>313</x:v>
      </x:c>
      <x:c r="H52" s="58" t="s">
        <x:v>201</x:v>
      </x:c>
    </x:row>
    <x:row r="53" ht="54.95000076293945" customHeight="1">
      <x:c r="A53" s="55" t="s">
        <x:v>152</x:v>
      </x:c>
      <x:c r="B53" s="56" t="s">
        <x:v>278</x:v>
      </x:c>
      <x:c r="C53" s="57" t="s">
        <x:v>55</x:v>
      </x:c>
      <x:c r="D53" s="57" t="s">
        <x:v>30</x:v>
      </x:c>
      <x:c r="E53" s="56" t="str">
        <x:v>La redacción no es suficientemente precisa, ya que enumera roles, pero no define la matriz de permisos o las operaciones permitidas y prohibidas para cada uno.</x:v>
      </x:c>
      <x:c r="F53" s="57">
        <x:v>4</x:v>
      </x:c>
      <x:c r="G53" s="56" t="s">
        <x:v>313</x:v>
      </x:c>
      <x:c r="H53" s="58" t="s">
        <x:v>201</x:v>
      </x:c>
    </x:row>
    <x:row r="54" ht="69.94999694824219" customHeight="1">
      <x:c r="A54" s="55" t="s">
        <x:v>154</x:v>
      </x:c>
      <x:c r="B54" s="56" t="s">
        <x:v>280</x:v>
      </x:c>
      <x:c r="C54" s="57" t="s">
        <x:v>50</x:v>
      </x:c>
      <x:c r="D54" s="57" t="s">
        <x:v>192</x:v>
      </x:c>
      <x:c r="E54" s="56" t="str">
        <x:v>La revisión confirma que incluye una métrica, umbral, plataforma o condición objetiva que permite comprobar su cumplimiento.</x:v>
      </x:c>
      <x:c r="F54" s="57">
        <x:v>5</x:v>
      </x:c>
      <x:c r="G54" s="56" t="s">
        <x:v>313</x:v>
      </x:c>
      <x:c r="H54" s="58" t="s">
        <x:v>201</x:v>
      </x:c>
    </x:row>
    <x:row r="55" ht="54.95000076293945" customHeight="1">
      <x:c r="A55" s="55" t="s">
        <x:v>156</x:v>
      </x:c>
      <x:c r="B55" s="56" t="s">
        <x:v>281</x:v>
      </x:c>
      <x:c r="C55" s="57" t="s">
        <x:v>55</x:v>
      </x:c>
      <x:c r="D55" s="57" t="s">
        <x:v>18</x:v>
      </x:c>
      <x:c r="E55" s="56" t="str">
        <x:v>El enunciado resulta ambiguo porque la expresión «estrictamente necesario» no establece un criterio operativo para decidir qué datos son mínimos para cada finalidad.</x:v>
      </x:c>
      <x:c r="F55" s="57">
        <x:v>4</x:v>
      </x:c>
      <x:c r="G55" s="56" t="s">
        <x:v>313</x:v>
      </x:c>
      <x:c r="H55" s="58" t="s">
        <x:v>201</x:v>
      </x:c>
    </x:row>
    <x:row r="56" ht="69.94999694824219" customHeight="1">
      <x:c r="A56" s="55" t="s">
        <x:v>158</x:v>
      </x:c>
      <x:c r="B56" s="56" t="s">
        <x:v>283</x:v>
      </x:c>
      <x:c r="C56" s="57" t="s">
        <x:v>50</x:v>
      </x:c>
      <x:c r="D56" s="57" t="s">
        <x:v>192</x:v>
      </x:c>
      <x:c r="E56" s="56" t="str">
        <x:v>En este caso, incluye una métrica, umbral, plataforma o condición objetiva que permite comprobar su cumplimiento.</x:v>
      </x:c>
      <x:c r="F56" s="57">
        <x:v>5</x:v>
      </x:c>
      <x:c r="G56" s="56" t="s">
        <x:v>313</x:v>
      </x:c>
      <x:c r="H56" s="58" t="s">
        <x:v>201</x:v>
      </x:c>
    </x:row>
    <x:row r="57" ht="62.099998474121094" customHeight="1">
      <x:c r="A57" s="36" t="s">
        <x:v>160</x:v>
      </x:c>
      <x:c r="B57" s="30" t="s">
        <x:v>284</x:v>
      </x:c>
      <x:c r="C57" s="36" t="s">
        <x:v>50</x:v>
      </x:c>
      <x:c r="D57" s="36" t="s">
        <x:v>192</x:v>
      </x:c>
      <x:c r="E57" s="30" t="str">
        <x:v>La formulación permite apreciar que define la comunicación, los procesos en que se usa, las categorías de reporte y el registro del motivo asociado a la conversación.</x:v>
      </x:c>
      <x:c r="F57" s="36">
        <x:v>5</x:v>
      </x:c>
      <x:c r="G57" s="36" t="s">
        <x:v>313</x:v>
      </x:c>
      <x:c r="H57" s="36" t="s">
        <x:v>211</x:v>
      </x:c>
    </x:row>
    <x:row r="58" ht="62.099998474121094" customHeight="1">
      <x:c r="A58" s="36" t="s">
        <x:v>162</x:v>
      </x:c>
      <x:c r="B58" s="32" t="s">
        <x:v>286</x:v>
      </x:c>
      <x:c r="C58" s="28" t="s">
        <x:v>50</x:v>
      </x:c>
      <x:c r="D58" s="28" t="s">
        <x:v>192</x:v>
      </x:c>
      <x:c r="E58" s="32" t="str">
        <x:v>La revisión muestra que incluye dos métricas verificables: al menos 90 % de éxito en tareas y puntuación media SUS de 80/100 o superior.</x:v>
      </x:c>
      <x:c r="F58" s="28">
        <x:v>5</x:v>
      </x:c>
      <x:c r="G58" s="28" t="s">
        <x:v>313</x:v>
      </x:c>
      <x:c r="H58" s="36" t="s">
        <x:v>211</x:v>
      </x:c>
    </x:row>
    <x:row r="59" ht="62.099998474121094" customHeight="1">
      <x:c r="A59" s="36" t="s">
        <x:v>164</x:v>
      </x:c>
      <x:c r="B59" s="32" t="s">
        <x:v>288</x:v>
      </x:c>
      <x:c r="C59" s="28" t="s">
        <x:v>50</x:v>
      </x:c>
      <x:c r="D59" s="28" t="s">
        <x:v>192</x:v>
      </x:c>
      <x:c r="E59" s="32" t="str">
        <x:v>El análisis evidencia que fija una coincidencia mínima del 85 % y establece como referencia las evaluaciones de médicos veterinarios.</x:v>
      </x:c>
      <x:c r="F59" s="28">
        <x:v>5</x:v>
      </x:c>
      <x:c r="G59" s="28" t="s">
        <x:v>313</x:v>
      </x:c>
      <x:c r="H59" s="36" t="s">
        <x:v>211</x:v>
      </x:c>
    </x:row>
    <x:row r="60" ht="62.099998474121094" customHeight="1">
      <x:c r="A60" s="29" t="s">
        <x:v>166</x:v>
      </x:c>
      <x:c r="B60" s="59" t="s">
        <x:v>290</x:v>
      </x:c>
      <x:c r="C60" s="29" t="s">
        <x:v>50</x:v>
      </x:c>
      <x:c r="D60" s="29" t="s">
        <x:v>192</x:v>
      </x:c>
      <x:c r="E60" s="59" t="str">
        <x:v>En este requisito, define anticipación temporal, tipos de controles, canal principal y canal de respaldo ante indisponibilidad externa.</x:v>
      </x:c>
      <x:c r="F60" s="29">
        <x:v>5</x:v>
      </x:c>
      <x:c r="G60" s="29" t="s">
        <x:v>313</x:v>
      </x:c>
      <x:c r="H60" s="29" t="s">
        <x:v>211</x:v>
      </x:c>
    </x:row>
    <x:row r="61" ht="62.099998474121094" customHeight="1">
      <x:c r="A61" s="36" t="s">
        <x:v>168</x:v>
      </x:c>
      <x:c r="B61" s="32" t="s">
        <x:v>292</x:v>
      </x:c>
      <x:c r="C61" s="28" t="s">
        <x:v>55</x:v>
      </x:c>
      <x:c r="D61" s="28" t="s">
        <x:v>27</x:v>
      </x:c>
      <x:c r="E61" s="32" t="str">
        <x:v>La formulación permite apreciar que «Confirme o cuestione» no define el criterio clínico/documental que debe aplicar la segunda veterinaria ni cómo se resuelve una discrepancia.</x:v>
      </x:c>
      <x:c r="F61" s="28">
        <x:v>4</x:v>
      </x:c>
      <x:c r="G61" s="28" t="s">
        <x:v>313</x:v>
      </x:c>
      <x:c r="H61" s="36" t="s">
        <x:v>211</x:v>
      </x:c>
    </x:row>
    <x:row r="62" ht="62.099998474121094" customHeight="1">
      <x:c r="A62" s="36" t="s">
        <x:v>170</x:v>
      </x:c>
      <x:c r="B62" s="32" t="s">
        <x:v>294</x:v>
      </x:c>
      <x:c r="C62" s="28" t="s">
        <x:v>50</x:v>
      </x:c>
      <x:c r="D62" s="28" t="s">
        <x:v>192</x:v>
      </x:c>
      <x:c r="E62" s="32" t="str">
        <x:v>La revisión muestra que el umbral está cuantificado: más de dos procesos completados dentro de seis meses, con destinatarios de la alerta identificados.</x:v>
      </x:c>
      <x:c r="F62" s="28">
        <x:v>5</x:v>
      </x:c>
      <x:c r="G62" s="28" t="s">
        <x:v>313</x:v>
      </x:c>
      <x:c r="H62" s="36" t="s">
        <x:v>211</x:v>
      </x:c>
    </x:row>
    <x:row r="63" ht="62.099998474121094" customHeight="1">
      <x:c r="A63" s="36" t="s">
        <x:v>172</x:v>
      </x:c>
      <x:c r="B63" s="32" t="s">
        <x:v>296</x:v>
      </x:c>
      <x:c r="C63" s="28" t="s">
        <x:v>55</x:v>
      </x:c>
      <x:c r="D63" s="28" t="s">
        <x:v>27</x:v>
      </x:c>
      <x:c r="E63" s="32" t="str">
        <x:v>El análisis evidencia que «Explicación motivada» no especifica contenido mínimo, profundidad ni criterio para determinar que la explicación es suficiente.</x:v>
      </x:c>
      <x:c r="F63" s="28">
        <x:v>4</x:v>
      </x:c>
      <x:c r="G63" s="28" t="s">
        <x:v>313</x:v>
      </x:c>
      <x:c r="H63" s="36" t="s">
        <x:v>211</x:v>
      </x:c>
    </x:row>
    <x:row r="64" ht="62.099998474121094" customHeight="1">
      <x:c r="A64" s="27" t="s">
        <x:v>174</x:v>
      </x:c>
      <x:c r="B64" s="31" t="s">
        <x:v>298</x:v>
      </x:c>
      <x:c r="C64" s="27" t="s">
        <x:v>55</x:v>
      </x:c>
      <x:c r="D64" s="27" t="s">
        <x:v>27</x:v>
      </x:c>
      <x:c r="E64" s="31" t="str">
        <x:v>En este requisito, «Confidencialidad reforzada» y «extensión indirecta» no se traducen en controles o condiciones verificables concretas.</x:v>
      </x:c>
      <x:c r="F64" s="27">
        <x:v>4</x:v>
      </x:c>
      <x:c r="G64" s="27" t="s">
        <x:v>313</x:v>
      </x:c>
      <x:c r="H64" s="27" t="s">
        <x:v>211</x:v>
      </x:c>
    </x:row>
    <x:row r="65" ht="62.099998474121094" customHeight="1">
      <x:c r="A65" s="27" t="s">
        <x:v>176</x:v>
      </x:c>
      <x:c r="B65" s="31" t="s">
        <x:v>300</x:v>
      </x:c>
      <x:c r="C65" s="27" t="s">
        <x:v>55</x:v>
      </x:c>
      <x:c r="D65" s="27" t="s">
        <x:v>18</x:v>
      </x:c>
      <x:c r="E65" s="31" t="str">
        <x:v>La formulación permite apreciar que «Estrictamente necesarios» no establece qué datos son mínimos para cada finalidad ni un criterio operativo de minimización.</x:v>
      </x:c>
      <x:c r="F65" s="27">
        <x:v>4</x:v>
      </x:c>
      <x:c r="G65" s="27" t="s">
        <x:v>313</x:v>
      </x:c>
      <x:c r="H65" s="50" t="s">
        <x:v>211</x:v>
      </x:c>
    </x:row>
    <x:row r="66" ht="62.099998474121094" customHeight="1">
      <x:c r="A66" s="36" t="s">
        <x:v>178</x:v>
      </x:c>
      <x:c r="B66" s="30" t="s">
        <x:v>302</x:v>
      </x:c>
      <x:c r="C66" s="36" t="s">
        <x:v>50</x:v>
      </x:c>
      <x:c r="D66" s="36" t="s">
        <x:v>192</x:v>
      </x:c>
      <x:c r="E66" s="30" t="str">
        <x:v>La revisión muestra que identifica el evento disparador, los dos destinatarios y los plazos máximos de 5 y 3 días.</x:v>
      </x:c>
      <x:c r="F66" s="36">
        <x:v>5</x:v>
      </x:c>
      <x:c r="G66" s="36" t="s">
        <x:v>313</x:v>
      </x:c>
      <x:c r="H66" s="36" t="s">
        <x:v>211</x:v>
      </x:c>
    </x:row>
    <x:row r="67" ht="42" customHeight="1">
      <x:c r="A67" s="70"/>
      <x:c r="B67" s="71"/>
      <x:c r="C67" s="71"/>
      <x:c r="D67" s="71"/>
      <x:c r="E67" s="71"/>
      <x:c r="F67" s="71"/>
      <x:c r="G67" s="71"/>
      <x:c r="H67" s="72"/>
    </x:row>
    <x:row r="70">
      <x:c r="A70" t="s">
        <x:v>304</x:v>
      </x:c>
    </x:row>
    <x:row r="71">
      <x:c r="A71" t="s">
        <x:v>305</x:v>
      </x:c>
      <x:c r="B71">
        <x:v>61</x:v>
      </x:c>
      <x:c r="C71" t="s">
        <x:v>306</x:v>
      </x:c>
      <x:c r="D71" s="21" t="s">
        <x:v>306</x:v>
      </x:c>
      <x:c r="E71" s="21">
        <x:v>61</x:v>
      </x:c>
      <x:c r="F71" s="21">
        <x:v>0</x:v>
      </x:c>
      <x:c r="G71" t="s">
        <x:v>307</x:v>
      </x:c>
      <x:c r="H71" t="n">
        <x:f>IFERROR(SUM(F6:F66)/COUNT(F6:F66),0)</x:f>
        <x:v>4.508196721311475</x:v>
      </x:c>
    </x:row>
    <x:row r="72">
      <x:c r="D72" s="21" t="s">
        <x:v>308</x:v>
      </x:c>
      <x:c r="E72" s="21">
        <x:v>1</x:v>
      </x:c>
      <x:c r="F72" s="21" t="s">
        <x:v>309</x:v>
      </x:c>
    </x:row>
  </x:sheetData>
  <x:mergeCells>
    <x:mergeCell ref="A1:H1"/>
    <x:mergeCell ref="A2:H2"/>
    <x:mergeCell ref="A67:H67"/>
  </x:mergeCells>
  <x:conditionalFormatting sqref="C6:C60">
    <x:cfRule type="expression" dxfId="3" priority="1">
      <x:formula>C6="Ambiguo"</x:formula>
    </x:cfRule>
    <x:cfRule type="expression" dxfId="2" priority="2">
      <x:formula>C6="No ambiguo"</x:formula>
    </x:cfRule>
  </x:conditionalFormatting>
  <x:conditionalFormatting sqref="C6:C66">
    <x:cfRule type="expression" dxfId="1" priority="3">
      <x:formula>C6="No ambiguo"</x:formula>
    </x:cfRule>
    <x:cfRule type="expression" dxfId="0" priority="4">
      <x:formula>C6="Ambiguo"</x:formula>
    </x:cfRule>
  </x:conditionalFormatting>
  <x:dataValidations count="5">
    <x:dataValidation type="list" sqref="C6:C66">
      <x:formula1>"Ambiguo,No ambiguo"</x:formula1>
    </x:dataValidation>
    <x:dataValidation type="list" sqref="D6:D60">
      <x:formula1>"Ninguno,Cuantificador vago,Conjunción múltiple,Voz pasiva / sujeto ausente,Terminología imprecisa,Requisito no verificable / incompleto,Otro"</x:formula1>
    </x:dataValidation>
    <x:dataValidation type="whole" sqref="F6:F60">
      <x:formula1>1</x:formula1>
      <x:formula2>5</x:formula2>
    </x:dataValidation>
    <x:dataValidation type="list" sqref="D6:D66">
      <x:formula1>"Ninguno,Cuantificador vago,Conjunción múltiple,Voz pasiva / sujeto ausente,Terminología imprecisa,Requisito no verificable / incompleto"</x:formula1>
    </x:dataValidation>
    <x:dataValidation type="list" sqref="F6:F66">
      <x:formula1>"1,2,3,4,5"</x:formula1>
    </x:dataValidation>
  </x:dataValidations>
  <x:pageMargins left="0.7" right="0.7" top="0.75" bottom="0.75" header="0.3" footer="0.3"/>
</x:worksheet>
</file>