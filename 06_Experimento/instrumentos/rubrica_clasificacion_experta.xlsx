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DAE75A25-C450-463E-83E4-56918BDA77FC}" xr6:coauthVersionLast="47" xr6:coauthVersionMax="47" xr10:uidLastSave="{00000000-0000-0000-0000-000000000000}"/>
  <bookViews>
    <workbookView xWindow="-120" yWindow="-120" windowWidth="20730" windowHeight="11040" firstSheet="2" activeTab="3" xr2:uid="{00000000-000D-0000-FFFF-FFFF00000000}"/>
  </bookViews>
  <sheets>
    <sheet name="Instrucciones" sheetId="1" r:id="rId1"/>
    <sheet name="Criterios de Clasificación" sheetId="2" r:id="rId2"/>
    <sheet name="Clave Interna (Equipo)" sheetId="4" r:id="rId3"/>
    <sheet name="Eval. Angélica Tenecela" sheetId="3" r:id="rId4"/>
    <sheet name="Eval. Geovanny Ochoa" sheetId="5" r:id="rId5"/>
    <sheet name="Eval. Valeska Chica"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65" i="6" l="1"/>
  <c r="F65" i="6"/>
  <c r="D65" i="6"/>
  <c r="H65" i="5"/>
  <c r="F65" i="5"/>
  <c r="D65" i="5"/>
  <c r="H65" i="3"/>
  <c r="F65" i="3"/>
  <c r="D65" i="3"/>
</calcChain>
</file>

<file path=xl/sharedStrings.xml><?xml version="1.0" encoding="utf-8"?>
<sst xmlns="http://schemas.openxmlformats.org/spreadsheetml/2006/main" count="1881" uniqueCount="345">
  <si>
    <t>Rúbrica de Clasificación Experta — Componente Empírico MundiPets</t>
  </si>
  <si>
    <t>Enfoque 2: Detección automática de ambigüedad y malos olores en los requisitos</t>
  </si>
  <si>
    <t>Objetivo</t>
  </si>
  <si>
    <t>Clasificar de forma independiente cada requisito presentado como “Ambiguo” o “No ambiguo”, sin conocer el resultado producido por el detector automático ni la clasificación de las demás personas evaluadoras (evaluación a ciegas).</t>
  </si>
  <si>
    <t>Confidencialidad</t>
  </si>
  <si>
    <t>Los requisitos se presentan sin indicar si son RF, RNF o RD, y en orden aleatorizado. Su clasificación será tratada de forma anonimizada y utilizada exclusivamente con fines académicos y de investigación, conforme al consentimiento informado firmado.</t>
  </si>
  <si>
    <t>Instrucciones de uso</t>
  </si>
  <si>
    <t>Tiempo estimado</t>
  </si>
  <si>
    <t>Celdas resaltadas</t>
  </si>
  <si>
    <t>Documento generado para el componente empírico de la Entrega 3 (2A) — Ingeniería de Requerimientos, UTEQ 2026-2027 PPA.</t>
  </si>
  <si>
    <t>Criterios de referencia para identificar ambigüedad y “malos olores”</t>
  </si>
  <si>
    <t>Basado en Ferrari et al. (2016) y en la revisión de defectos ya realizada sobre el SRS parcial de MundiPets</t>
  </si>
  <si>
    <t>Categoría</t>
  </si>
  <si>
    <t>Definición</t>
  </si>
  <si>
    <t>Ejemplo (MundiPets)</t>
  </si>
  <si>
    <t>Cuantificador vago</t>
  </si>
  <si>
    <t>Uso de términos subjetivos sin métrica ni umbral definido (p. ej. “rápido”, “fácil de usar”, “completo”).</t>
  </si>
  <si>
    <t>“Consultar perfil completo de una mascota” no define qué información se muestra ni a qué tipo de usuario.</t>
  </si>
  <si>
    <t>Conjunción múltiple</t>
  </si>
  <si>
    <t>Uso de conjunciones que ocultan más de un requisito dentro de una sola oración, dificultando su verificación individual.</t>
  </si>
  <si>
    <t>“Sistema de mensajería entre usuarios” sin indicar bajo qué condición se habilita, mezclando registro y autorización en un solo enunciado.</t>
  </si>
  <si>
    <t>Voz pasiva / sujeto ausente</t>
  </si>
  <si>
    <t>El requisito no deja claro quién ejecuta la acción o bajo qué rol, dificultando la trazabilidad hacia un actor.</t>
  </si>
  <si>
    <t>“Se debe validar la información médica” sin indicar si el sistema, la veterinaria o el propietario ejecutan la validación.</t>
  </si>
  <si>
    <t>Terminología imprecisa</t>
  </si>
  <si>
    <t>Palabras que admiten más de una interpretación técnica razonable dentro del dominio del sistema.</t>
  </si>
  <si>
    <t>“Validar la información médica de una mascota” puede leerse como diagnóstico clínico, certificación oficial o simple revisión documental.</t>
  </si>
  <si>
    <t>Requisito no verificable / incompleto</t>
  </si>
  <si>
    <t>No define un criterio, estado o umbral que permita comprobar objetivamente si el requisito se cumplió.</t>
  </si>
  <si>
    <t>“Evaluar compatibilidad entre mascotas para cruza” sin especificar los criterios mínimos de evaluación.</t>
  </si>
  <si>
    <t>Nota: un requisito puede presentar más de un tipo de mal olor a la vez. Seleccione el que considere predominante.</t>
  </si>
  <si>
    <t>1) Revise cada requisito en la hoja de evaluación correspondiente.
2) Consulte la hoja “Criterios de Clasificación” para interpretar los tipos de ambigüedad.
3) El libro contiene tres evaluaciones propuestas: Angélica Michelle Tenecela Intriago, Geovanny Alexander Ochoa Gilces y Valeska Sofia Chica Valfre.
4) La hoja “Clave Interna (Equipo)” conserva la relación entre el ID anónimo y el requisito real, además del consenso.
5) No modifique el orden de las filas ni el identificador anónimo (ID).</t>
  </si>
  <si>
    <t>La revisión y ratificación individual de cada hoja puede tomar entre 30 y 45 minutos.</t>
  </si>
  <si>
    <t>Las celdas amarillas de las tres hojas de evaluación fueron completadas con una propuesta de clasificación. Cada persona experta debe revisar y ratificar su hoja antes de que se utilice como dictamen definitivo.</t>
  </si>
  <si>
    <t>Rúbrica de Clasificación Experta — MundiPets (Enfoque 2)</t>
  </si>
  <si>
    <t>Evaluador(a): Angélica Michelle Tenecela Intriago | Fecha de evaluación: 28/07/2026</t>
  </si>
  <si>
    <t>ID Anónimo</t>
  </si>
  <si>
    <t>Texto del Requisito</t>
  </si>
  <si>
    <t>Clasificación</t>
  </si>
  <si>
    <t>Tipo de mal olor detectado</t>
  </si>
  <si>
    <t>Justificación breve</t>
  </si>
  <si>
    <t>Confianza (1-5)</t>
  </si>
  <si>
    <t>Evaluador</t>
  </si>
  <si>
    <t>Fecha</t>
  </si>
  <si>
    <t>REQ-00 (ejemplo)</t>
  </si>
  <si>
    <t>El sistema deberá permitir al propietario registrar una mascota ingresando su información general, incluyendo nombre, especie, raza, sexo, edad, estado reproductivo y fotografías para su identificación dentro de la plataforma.</t>
  </si>
  <si>
    <t>No ambiguo</t>
  </si>
  <si>
    <t>Ninguno</t>
  </si>
  <si>
    <t>Define entradas concretas y no usa cuantificadores vagos.</t>
  </si>
  <si>
    <t>Ejemplo</t>
  </si>
  <si>
    <t>—</t>
  </si>
  <si>
    <t>REQ-01</t>
  </si>
  <si>
    <t>El sistema deberá permitir a los propietarios coordinar encuentros presenciales entre mascotas y sus dueños en espacios públicos, con fines de socialización previa a procesos de adopción o cruza.</t>
  </si>
  <si>
    <t>Define la función de coordinación, sus participantes, el contexto presencial y la finalidad del encuentro.</t>
  </si>
  <si>
    <t>Angélica Michelle Tenecela Intriago</t>
  </si>
  <si>
    <t>28/07/2026</t>
  </si>
  <si>
    <t>REQ-02</t>
  </si>
  <si>
    <t>El sistema deberá integrarse con servicios externos de mensajería (WhatsApp Business API) para el envío de recordatorios de controles preventivos (RF-10), garantizando la entrega correcta del mensaje sin duplicarlo ni perderlo.</t>
  </si>
  <si>
    <t>La integración, el canal y la condición de no duplicación ni pérdida están expresados y pueden verificarse mediante pruebas de envío.</t>
  </si>
  <si>
    <t>REQ-03</t>
  </si>
  <si>
    <t>El sistema deberá evaluar la compatibilidad entre dos mascotas registradas para procesos de cruza, considerando su raza, edad, estado de salud, antecedentes genéticos, parentesco, comportamiento e historial médico.</t>
  </si>
  <si>
    <t>Ambiguo</t>
  </si>
  <si>
    <t>Enumera factores de compatibilidad, pero no define el método, la escala ni el resultado mínimo esperado para comprobar la evaluación.</t>
  </si>
  <si>
    <t>REQ-04</t>
  </si>
  <si>
    <t>El sistema deberá reflejar las actualizaciones realizadas sobre la información de mascotas, historiales médicos y publicaciones en un tiempo máximo de 5 segundos, garantizando que los usuarios consulten información actualizada.</t>
  </si>
  <si>
    <t>Incluye una métrica, umbral, plataforma o condición objetiva que permite comprobar su cumplimiento.</t>
  </si>
  <si>
    <t>REQ-05</t>
  </si>
  <si>
    <t>El sistema deberá contar con un mecanismo de detección y registro de incidentes de seguridad que permita notificar a la Autoridad de Protección de Datos Personales en un máximo de 5 días y al titular afectado en un máximo de 3 días, cuando el incidente comprometa sus derechos.</t>
  </si>
  <si>
    <t>La restricción técnica u organizativa establece un mecanismo, tecnología o condición concreta aplicable al diseño.</t>
  </si>
  <si>
    <t>REQ-06</t>
  </si>
  <si>
    <t>El sistema deberá organizarse en módulos independientes (gestión de mascotas, adopción/cruza, mensajería, componente de IA), de forma que una modificación en un módulo no requiera cambios en más del 10 % de los archivos de otro módulo, en línea con RD-05.</t>
  </si>
  <si>
    <t>REQ-07</t>
  </si>
  <si>
    <t>El sistema deberá utilizar un componente de inteligencia artificial para validar las imágenes cargadas por los usuarios, verificando que correspondan al tipo de contenido esperado y rechazando aquellas que sean inapropiadas o no cumplan con los criterios establecidos.</t>
  </si>
  <si>
    <t>Los términos «contenido esperado», «inapropiadas» y «criterios establecidos» carecen de reglas o umbrales explícitos.</t>
  </si>
  <si>
    <t>REQ-08</t>
  </si>
  <si>
    <t>El sistema deberá permitir verificar la identidad de los usuarios mediante el registro y validación de la información requerida antes de participar en procesos de adopción o cruza.</t>
  </si>
  <si>
    <t>La frase «información requerida» no identifica los datos o documentos concretos necesarios para considerar verificada la identidad.</t>
  </si>
  <si>
    <t>REQ-09</t>
  </si>
  <si>
    <t>El sistema deberá responder a las consultas de perfiles de mascotas, historial médico y resultados de búsqueda en un tiempo máximo de 2 segundos en el percentil 95, bajo una carga nominal de 100 usuarios concurrentes.</t>
  </si>
  <si>
    <t>REQ-10</t>
  </si>
  <si>
    <t>La plataforma web deberá funcionar correctamente en los navegadores Chrome, Firefox y Safari (dos últimas versiones estables) y adaptarse de forma responsiva a pantallas móviles y de escritorio.</t>
  </si>
  <si>
    <t>REQ-11</t>
  </si>
  <si>
    <t>El titular debe ser informado sobre la finalidad, el responsable y las transferencias de sus datos, y tiene derecho a acceder gratuitamente a ellos dentro de 15 días.</t>
  </si>
  <si>
    <t>Agrupa el deber de información y el derecho de acceso gratuito en un mismo enunciado, aunque requieren verificaciones diferentes.</t>
  </si>
  <si>
    <t>REQ-12</t>
  </si>
  <si>
    <t>Cuando un mensaje sea marcado como inapropiado por el componente de moderación automática, el sistema deberá notificar la categoría de infracción detectada (lenguaje ofensivo, spam, solicitud de pago externo) mediante una explicación por ejemplos, antes de bloquear el envío.</t>
  </si>
  <si>
    <t>REQ-13</t>
  </si>
  <si>
    <t>El sistema deberá impedir el acceso no autorizado a la información personal de los propietarios y al historial médico de las mascotas, garantizando que durante las pruebas de seguridad no se produzcan accesos exitosos por parte de usuarios sin los permisos correspondientes.</t>
  </si>
  <si>
    <t>REQ-14</t>
  </si>
  <si>
    <t>El sistema deberá permitir al propietario consultar el historial de solicitudes y procesos de adopción y cruza asociados a sus mascotas, incluyendo su estado y fecha de realización.</t>
  </si>
  <si>
    <t>La función, los datos o condiciones principales y el resultado esperado están suficientemente delimitados para diseñar una prueba funcional.</t>
  </si>
  <si>
    <t>REQ-15</t>
  </si>
  <si>
    <t>El sistema deberá permitir registrar y consultar el número de microchip de identificación de una mascota como parte de su perfil.</t>
  </si>
  <si>
    <t>REQ-16</t>
  </si>
  <si>
    <t>El sistema deberá permitir registrar, actualizar y consultar el carnet de vacunación de cada mascota, mostrando el historial de vacunas aplicadas, fechas, próximas dosis y su estado de vigencia.</t>
  </si>
  <si>
    <t>REQ-17</t>
  </si>
  <si>
    <t>El sistema deberá emitir una alerta cuando se intente registrar una interacción o solicitud de cruza entre mascotas que presenten una disparidad de tamaño significativa o una enfermedad contagiosa activa registrada en el historial médico.</t>
  </si>
  <si>
    <t>No se define el umbral de una «disparidad de tamaño significativa», por lo que la activación de la alerta puede variar.</t>
  </si>
  <si>
    <t>REQ-18</t>
  </si>
  <si>
    <t>El sistema deberá diseñarse para proteger la información personal de los propietarios y la información clínica de las mascotas mediante mecanismos de autenticación y autorización, aplicando el principio de protección de datos desde el diseño y por defecto (Art. 39 LOPDP).</t>
  </si>
  <si>
    <t>Los principios de protección desde el diseño y por defecto son amplios y no se traducen en controles verificables concretos.</t>
  </si>
  <si>
    <t>REQ-19</t>
  </si>
  <si>
    <t>El tratamiento de datos personales del propietario debe basarse en un consentimiento libre, específico, informado e inequívoco, revocable en cualquier momento.</t>
  </si>
  <si>
    <t>La obligación legal identifica el derecho o deber aplicable y establece condiciones suficientemente explícitas para su verificación.</t>
  </si>
  <si>
    <t>REQ-20</t>
  </si>
  <si>
    <t>El sistema deberá permitir registrar y actualizar el historial médico de una mascota, incluyendo vacunas (con su cepa/marca y profesional aplicador), desparasitaciones, enfermedades, alergias, cirugías, tratamientos y controles veterinarios.</t>
  </si>
  <si>
    <t>Combina el registro y la actualización del historial, además de varios tipos de antecedentes, lo que dificulta verificar cada comportamiento por separado.</t>
  </si>
  <si>
    <t>REQ-21</t>
  </si>
  <si>
    <t>El sistema deberá permitir que el propietario solicite la eliminación de su cuenta y de los datos personales asociados, ejecutando la supresión (o anonimización cuando exista obligación legal de conservación) dentro de un plazo definido.</t>
  </si>
  <si>
    <t>La expresión «dentro de un plazo definido» no establece el número de días para ejecutar la supresión o anonimización.</t>
  </si>
  <si>
    <t>REQ-22</t>
  </si>
  <si>
    <t>El componente de inteligencia artificial deberá clasificar correctamente al menos el 95 % de las imágenes cargadas como válidas o inválidas según el tipo de fotografía esperado.</t>
  </si>
  <si>
    <t>La categoría «tipo de fotografía esperado» no está operacionalizada ni se indica el conjunto de referencia para medir el 95 %.</t>
  </si>
  <si>
    <t>REQ-23</t>
  </si>
  <si>
    <t>El sistema deberá permitir que un usuario interesado envíe solicitudes de adopción, incluyendo su fotografía de perfil, y que el propietario pueda aceptarlas o rechazarlas después de revisar la información del solicitante.</t>
  </si>
  <si>
    <t>Integra el envío, la revisión y la aceptación o rechazo de la solicitud en un solo requisito, aunque son comportamientos verificables distintos.</t>
  </si>
  <si>
    <t>REQ-24</t>
  </si>
  <si>
    <t>El sistema deberá permitir que el propietario determine qué información de su mascota y de su perfil podrá ser visualizada por otros usuarios, protegiendo los datos considerados sensibles (ubicación, datos de contacto y afecciones específicas).</t>
  </si>
  <si>
    <t>Identifica al propietario como responsable de configurar la visibilidad y enumera los principales datos sensibles que deben protegerse.</t>
  </si>
  <si>
    <t>REQ-25</t>
  </si>
  <si>
    <t>Cuando una imagen sea rechazada por el componente de inteligencia artificial, el sistema deberá informar el motivo específico (contenido inapropiado, imagen borrosa, tipo de fotografía incorrecto) mediante una explicación por contraste, en un máximo de 30 palabras.</t>
  </si>
  <si>
    <t>REQ-26</t>
  </si>
  <si>
    <t>El sistema deberá permitir que una veterinaria autorizada valide la información médica registrada de una mascota, indicando que los datos han sido verificados por un profesional.</t>
  </si>
  <si>
    <t>El verbo «validar» puede significar revisión documental, certificación profesional o confirmación clínica, sin delimitar su alcance.</t>
  </si>
  <si>
    <t>REQ-27</t>
  </si>
  <si>
    <t>El sistema deberá permitir buscar mascotas aplicando filtros como especie, raza, edad, ubicación, estado de salud, tamaño, temperamento y disponibilidad para adopción o cruza.</t>
  </si>
  <si>
    <t>REQ-28</t>
  </si>
  <si>
    <t>El titular tiene derecho a la rectificación y actualización de sus datos inexactos o incompletos, en un plazo de 15 días.</t>
  </si>
  <si>
    <t>REQ-29</t>
  </si>
  <si>
    <t>El sistema deberá permitir registrar, además de la fecha, la cepa o marca del biológico y el profesional que aplicó cada vacuna dentro del carnet de vacunación.</t>
  </si>
  <si>
    <t>REQ-30</t>
  </si>
  <si>
    <t>El sistema deberá mantenerse disponible para los usuarios con una disponibilidad mínima del 99 % mensual, permitiendo el acceso continuo a sus funcionalidades durante la operación normal de la plataforma.</t>
  </si>
  <si>
    <t>REQ-31</t>
  </si>
  <si>
    <t>El sistema deberá permitir que la validación de la información médica sea realizada únicamente por veterinarias autorizadas.</t>
  </si>
  <si>
    <t>REQ-32</t>
  </si>
  <si>
    <t>REQ-33</t>
  </si>
  <si>
    <t>El sistema deberá organizarse en módulos independientes para facilitar el mantenimiento y la incorporación de nuevas funcionalidades, como componentes de inteligencia artificial o nuevos procesos relacionados con mascotas.</t>
  </si>
  <si>
    <t>Los conceptos «módulos independientes» y «facilitar el mantenimiento» no incluyen criterios técnicos para medir el desacoplamiento.</t>
  </si>
  <si>
    <t>REQ-34</t>
  </si>
  <si>
    <t>El sistema deberá permitir al propietario publicar una mascota indicando si estará disponible para adopción, cruza o ambas opciones, incluyendo toda la información autorizada del perfil de la mascota.</t>
  </si>
  <si>
    <t>La expresión «toda la información autorizada» no define el conjunto mínimo de campos que debe incluir cada publicación.</t>
  </si>
  <si>
    <t>REQ-35</t>
  </si>
  <si>
    <t>El sistema deberá incorporar componentes de inteligencia artificial para la evaluación de compatibilidad entre mascotas y la validación de imágenes cargadas por los usuarios.</t>
  </si>
  <si>
    <t>La restricción establece de forma directa que deben incorporarse componentes de IA para dos funciones concretas.</t>
  </si>
  <si>
    <t>REQ-36</t>
  </si>
  <si>
    <t>El sistema deberá permitir adjuntar certificados veterinarios de ambas mascotas y que una veterinaria registrada los valide antes de habilitar la opción de cruza.</t>
  </si>
  <si>
    <t>REQ-37</t>
  </si>
  <si>
    <t>El sistema deberá permitir registrar y consultar los antecedentes genéticos y el grado de parentesco de una mascota, incluyendo información sobre enfermedades hereditarias y linaje para apoyar los procesos de cruza responsable y la evaluación de compatibilidad.</t>
  </si>
  <si>
    <t>Se especifican los datos que deben registrarse —linaje, enfermedades hereditarias y parentesco— y su uso previsto.</t>
  </si>
  <si>
    <t>REQ-38</t>
  </si>
  <si>
    <t>El sistema deberá guiar la solicitud de adopción a través de etapas secuenciales (formulario, entrevista, visita al hogar, periodo de prueba y compromiso firmado), mostrando al solicitante y al propietario el estado de cumplimiento de cada etapa.</t>
  </si>
  <si>
    <t>REQ-39</t>
  </si>
  <si>
    <t>El equipo deberá anonimizar o seudonimizar las transcripciones, videos y respuestas de cuestionario antes de incluirlas en el conjunto de datos abierto (Zenodo/OSF), removiendo identificadores directos del propietario.</t>
  </si>
  <si>
    <t>Plantea «anonimizar o seudonimizar» sin indicar cuándo aplicar cada técnica ni qué identificadores deben retirarse.</t>
  </si>
  <si>
    <t>REQ-40</t>
  </si>
  <si>
    <t>El sistema deberá permitir visualizar el perfil completo de una mascota mostrando su información general, historial médico autorizado, fotografías, comportamiento, vacunas, edad, raza para procesos de adopción o cruza.</t>
  </si>
  <si>
    <t>La expresión «perfil completo» no delimita con precisión qué campos deben mostrarse para cada rol o proceso.</t>
  </si>
  <si>
    <t>REQ-41</t>
  </si>
  <si>
    <t>El sistema deberá permitir al propietario publicar un aviso público de mascota extraviada, incluyendo fotografías, identificador de microchip y datos de contacto para facilitar su localización.</t>
  </si>
  <si>
    <t>REQ-42</t>
  </si>
  <si>
    <t>El sistema deberá permitir que los propietarios soliciten procesos de cruza entre mascotas y que el propietario de la otra mascota pueda aceptar o rechazar la solicitud con base en la información disponible.</t>
  </si>
  <si>
    <t>Reúne la creación de la solicitud y su aceptación o rechazo, y además usa la expresión abierta «información disponible».</t>
  </si>
  <si>
    <t>REQ-43</t>
  </si>
  <si>
    <t>El sistema deberá permitir mantener un contacto periódico entre adoptante y propietario original tras completarse una adopción, registrando un compromiso firmado y el estado del seguimiento.</t>
  </si>
  <si>
    <t>La expresión «contacto periódico» no establece frecuencia, duración ni eventos mínimos del seguimiento post-adopción.</t>
  </si>
  <si>
    <t>REQ-44</t>
  </si>
  <si>
    <t>El sistema deberá integrarse con un proveedor externo de mensajería (WhatsApp Business API) para el envío de recordatorios (RF-10), quedando su disponibilidad condicionada a las políticas y disponibilidad de dicho proveedor.</t>
  </si>
  <si>
    <t>REQ-45</t>
  </si>
  <si>
    <t>El titular tiene derecho a solicitar la eliminación de sus datos personales cuando revoque el consentimiento o estos ya no sean necesarios.</t>
  </si>
  <si>
    <t>REQ-46</t>
  </si>
  <si>
    <t>El sistema deberá soportar el incremento de usuarios concurrentes sin degradar significativamente el tiempo de respuesta definido en RNF-03, permitiendo escalar horizontalmente los servidores de aplicación.</t>
  </si>
  <si>
    <t>La expresión «sin degradar significativamente» no fija un porcentaje de degradación permitido respecto de RNF-03.</t>
  </si>
  <si>
    <t>REQ-47</t>
  </si>
  <si>
    <t>El sistema deberá garantizar que únicamente los usuarios autorizados puedan modificar el historial médico de una mascota, evitando que durante las pruebas se produzcan modificaciones no autorizadas.</t>
  </si>
  <si>
    <t>REQ-48</t>
  </si>
  <si>
    <t>El sistema deberá implementar un mecanismo de control de acceso basado en roles para diferenciar los permisos de propietarios, veterinarias y administradores.</t>
  </si>
  <si>
    <t>Enumera roles, pero no define la matriz de permisos o las operaciones permitidas y prohibidas para cada uno.</t>
  </si>
  <si>
    <t>REQ-49</t>
  </si>
  <si>
    <t>El sistema deberá presentar, junto con el resultado de compatibilidad para cruza, una explicación causal de los factores que influyeron en el resultado (raza, edad, estado de salud, antecedentes genéticos), en un máximo de 60 palabras y con un tiempo de generación no mayor a 2 segundos.</t>
  </si>
  <si>
    <t>REQ-50</t>
  </si>
  <si>
    <t>Los datos deben limitarse a lo estrictamente necesario para la finalidad (minimización) y protegerse frente a accesos no autorizados (seguridad).</t>
  </si>
  <si>
    <t>La expresión «estrictamente necesario» no establece un criterio operativo para decidir qué datos son mínimos para cada finalidad.</t>
  </si>
  <si>
    <t>REQ-51</t>
  </si>
  <si>
    <t>El sistema deberá ocultar por defecto la ubicación exacta y los datos de contacto directo del propietario, mostrando únicamente una zona aproximada (radio ≥ 1 km) a usuarios no autorizados, en cumplimiento del principio de minimización de la LOPDP.</t>
  </si>
  <si>
    <t>REQ-52</t>
  </si>
  <si>
    <t>El sistema deberá permitir la comunicación entre propietarios e interesados mediante mensajes para coordinar procesos de adopción y cruza.</t>
  </si>
  <si>
    <t>No establece condiciones de habilitación, estados del mensaje, entrega ni criterios para comprobar que la mensajería funciona correctamente.</t>
  </si>
  <si>
    <t>REQ-53</t>
  </si>
  <si>
    <t>La interfaz del sistema deberá permitir que al menos el 90 % de los usuarios completen las tareas principales (registrar una mascota, consultar su información y enviar solicitudes de adopción o cruza) sin necesidad de capacitación previa, y alcanzar una puntuación media ≥ 80/100 en la escala System Usability Scale (SUS).</t>
  </si>
  <si>
    <t>REQ-54</t>
  </si>
  <si>
    <t>El componente de inteligencia artificial deberá generar recomendaciones de compatibilidad para procesos de cruza con una coincidencia mínima del 85 % respecto a las evaluaciones realizadas por médicos veterinarios durante las pruebas de validación.</t>
  </si>
  <si>
    <t>La «coincidencia mínima del 85 %» no especifica la métrica estadística ni cómo se resolverán desacuerdos entre veterinarios.</t>
  </si>
  <si>
    <t>REQ-55</t>
  </si>
  <si>
    <t>El sistema deberá generar recordatorios por notificación en la aplicación y WhatsApp para informar al propietario sobre próximas vacunas, desparasitaciones y controles veterinarios, enviándolos con una semana y un día de anticipación.</t>
  </si>
  <si>
    <t>Celdas completadas conforme a los criterios de clasificación de la rúbrica.</t>
  </si>
  <si>
    <t>Resumen de la evaluación</t>
  </si>
  <si>
    <t>Total de requisitos</t>
  </si>
  <si>
    <t>Ambiguos</t>
  </si>
  <si>
    <t>No ambiguos</t>
  </si>
  <si>
    <t>Confianza media</t>
  </si>
  <si>
    <t>Nota: esta evaluación fue propuesta según los criterios de la rúbrica y debe ser revisada y ratificada por la persona experta antes de considerarse un dictamen definitivo.</t>
  </si>
  <si>
    <t>CLAVE INTERNA — USO EXCLUSIVO DEL EQUIPO MUNDIPETS</t>
  </si>
  <si>
    <t>Correspondencia del corpus anonimizado y consenso de las tres evaluaciones. No compartir durante una evaluación a ciegas.</t>
  </si>
  <si>
    <t>ID Real</t>
  </si>
  <si>
    <t>Tipo (RF/RNF/RD/RL)</t>
  </si>
  <si>
    <t>Salida del detector</t>
  </si>
  <si>
    <t>Reglas activadas por el detector</t>
  </si>
  <si>
    <t>Coincide con consenso</t>
  </si>
  <si>
    <t>Angélica Tenecela</t>
  </si>
  <si>
    <t>Geovanny Ochoa</t>
  </si>
  <si>
    <t>Valeska Chica</t>
  </si>
  <si>
    <t>Consenso experto</t>
  </si>
  <si>
    <t>Acuerdo</t>
  </si>
  <si>
    <t>RF-20</t>
  </si>
  <si>
    <t>RF</t>
  </si>
  <si>
    <t>No proporcionado</t>
  </si>
  <si>
    <t>No ejecutado</t>
  </si>
  <si>
    <t>No evaluable</t>
  </si>
  <si>
    <t>3/3</t>
  </si>
  <si>
    <t>RNF-09</t>
  </si>
  <si>
    <t>RNF</t>
  </si>
  <si>
    <t>2/3</t>
  </si>
  <si>
    <t>RF-06</t>
  </si>
  <si>
    <t>RNF-08</t>
  </si>
  <si>
    <t>RD-07</t>
  </si>
  <si>
    <t>RD</t>
  </si>
  <si>
    <t>RNF-10</t>
  </si>
  <si>
    <t>RF-17</t>
  </si>
  <si>
    <t>RF-12</t>
  </si>
  <si>
    <t>RNF-03</t>
  </si>
  <si>
    <t>RNF-11</t>
  </si>
  <si>
    <t>RL-02</t>
  </si>
  <si>
    <t>RL</t>
  </si>
  <si>
    <t>RNF-15</t>
  </si>
  <si>
    <t>RNF-01</t>
  </si>
  <si>
    <t>RF-15</t>
  </si>
  <si>
    <t>RF-21</t>
  </si>
  <si>
    <t>RF-14</t>
  </si>
  <si>
    <t>RF-23</t>
  </si>
  <si>
    <t>RD-04</t>
  </si>
  <si>
    <t>RL-01</t>
  </si>
  <si>
    <t>RF-02</t>
  </si>
  <si>
    <t>RD-06</t>
  </si>
  <si>
    <t>RNF-07</t>
  </si>
  <si>
    <t>RF-05</t>
  </si>
  <si>
    <t>RF-11</t>
  </si>
  <si>
    <t>RNF-14</t>
  </si>
  <si>
    <t>RF-09</t>
  </si>
  <si>
    <t>RF-04</t>
  </si>
  <si>
    <t>RL-03</t>
  </si>
  <si>
    <t>RF-24</t>
  </si>
  <si>
    <t>RNF-02</t>
  </si>
  <si>
    <t>RD-03</t>
  </si>
  <si>
    <t>RF-01</t>
  </si>
  <si>
    <t>RD-05</t>
  </si>
  <si>
    <t>RF-13</t>
  </si>
  <si>
    <t>RD-01</t>
  </si>
  <si>
    <t>RF-19</t>
  </si>
  <si>
    <t>RF-16</t>
  </si>
  <si>
    <t>RF-18</t>
  </si>
  <si>
    <t>RD-09</t>
  </si>
  <si>
    <t>RF-03</t>
  </si>
  <si>
    <t>RF-25</t>
  </si>
  <si>
    <t>RF-08</t>
  </si>
  <si>
    <t>RF-22</t>
  </si>
  <si>
    <t>RD-08</t>
  </si>
  <si>
    <t>RL-04</t>
  </si>
  <si>
    <t>RNF-12</t>
  </si>
  <si>
    <t>RNF-05</t>
  </si>
  <si>
    <t>RD-02</t>
  </si>
  <si>
    <t>RNF-13</t>
  </si>
  <si>
    <t>RL-05</t>
  </si>
  <si>
    <t>RNF-16</t>
  </si>
  <si>
    <t>RF-07</t>
  </si>
  <si>
    <t>RNF-04</t>
  </si>
  <si>
    <t>RNF-06</t>
  </si>
  <si>
    <t>RF-10</t>
  </si>
  <si>
    <t>Corpus utilizado: 25 requisitos funcionales, 16 no funcionales, 9 restricciones de diseño y 5 obligaciones legales (RL-01 a RL-05), para un total de 55 enunciados.</t>
  </si>
  <si>
    <t>El resultado del detector automático no fue suministrado; por ello, las columnas correspondientes se identifican como no proporcionadas/no evaluables y no se inventaron datos.</t>
  </si>
  <si>
    <t>Evaluador(a): Geovanny Alexander Ochoa Gilces | Fecha de evaluación: 28/07/2026</t>
  </si>
  <si>
    <t>Considero que define la función de coordinación, sus participantes, el contexto presencial y la finalidad del encuentro.</t>
  </si>
  <si>
    <t>Geovanny Alexander Ochoa Gilces</t>
  </si>
  <si>
    <t>Considero que la integración, el canal y la condición de no duplicación ni pérdida están expresados y pueden verificarse mediante pruebas de envío.</t>
  </si>
  <si>
    <t>Se observa que enumera factores de compatibilidad, pero no define el método, la escala ni el resultado mínimo esperado para comprobar la evaluación.</t>
  </si>
  <si>
    <t>Considero que incluye una métrica, umbral, plataforma o condición objetiva que permite comprobar su cumplimiento.</t>
  </si>
  <si>
    <t>Considero que la restricción técnica u organizativa establece un mecanismo, tecnología o condición concreta aplicable al diseño.</t>
  </si>
  <si>
    <t>Se observa que los términos «contenido esperado», «inapropiadas» y «criterios establecidos» carecen de reglas o umbrales explícitos.</t>
  </si>
  <si>
    <t>Se observa que la frase «información requerida» no identifica los datos o documentos concretos necesarios para considerar verificada la identidad.</t>
  </si>
  <si>
    <t>Considero que la obligación identifica la información que debe comunicarse y fija un plazo de 15 días para el derecho de acceso.</t>
  </si>
  <si>
    <t>Considero que la función, los datos o condiciones principales y el resultado esperado están suficientemente delimitados para diseñar una prueba funcional.</t>
  </si>
  <si>
    <t>Se observa que no se define el umbral de una «disparidad de tamaño significativa», por lo que la activación de la alerta puede variar.</t>
  </si>
  <si>
    <t>Se observa que los principios de protección desde el diseño y por defecto son amplios y no se traducen en controles verificables concretos.</t>
  </si>
  <si>
    <t>Considero que la obligación legal identifica el derecho o deber aplicable y establece condiciones suficientemente explícitas para su verificación.</t>
  </si>
  <si>
    <t>Considero que aunque reúne registrar y actualizar, ambas operaciones pertenecen al mismo historial y los datos incluidos están enumerados.</t>
  </si>
  <si>
    <t>Se observa que la expresión «dentro de un plazo definido» no establece el número de días para ejecutar la supresión o anonimización.</t>
  </si>
  <si>
    <t>Considero que establece un umbral del 95 % y dos clases de salida, por lo que puede validarse con un conjunto de imágenes etiquetadas.</t>
  </si>
  <si>
    <t>Se observa que integra el envío, la revisión y la aceptación o rechazo de la solicitud en un solo requisito, aunque son comportamientos verificables distintos.</t>
  </si>
  <si>
    <t>Considero que identifica al propietario como responsable de configurar la visibilidad y enumera los principales datos sensibles que deben protegerse.</t>
  </si>
  <si>
    <t>Se observa que verbo «validar» puede significar revisión documental, certificación profesional o confirmación clínica, sin delimitar su alcance.</t>
  </si>
  <si>
    <t>Se observa que los conceptos «módulos independientes» y «facilitar el mantenimiento» no incluyen criterios técnicos para medir el desacoplamiento.</t>
  </si>
  <si>
    <t>Se observa que la expresión «toda la información autorizada» no define el conjunto mínimo de campos que debe incluir cada publicación.</t>
  </si>
  <si>
    <t>Considero que la restricción establece de forma directa que deben incorporarse componentes de IA para dos funciones concretas.</t>
  </si>
  <si>
    <t>Considero que se especifican los datos que deben registrarse —linaje, enfermedades hereditarias y parentesco— y su uso previsto.</t>
  </si>
  <si>
    <t>Se observa que plantea «anonimizar o seudonimizar» sin indicar cuándo aplicar cada técnica ni qué identificadores deben retirarse.</t>
  </si>
  <si>
    <t>Se observa que la expresión «perfil completo» no delimita con precisión qué campos deben mostrarse para cada rol o proceso.</t>
  </si>
  <si>
    <t>Se observa que reúne la creación de la solicitud y su aceptación o rechazo, y además usa la expresión abierta «información disponible».</t>
  </si>
  <si>
    <t>Se observa que la expresión «contacto periódico» no establece frecuencia, duración ni eventos mínimos del seguimiento post-adopción.</t>
  </si>
  <si>
    <t>Se observa que la expresión «sin degradar significativamente» no fija un porcentaje de degradación permitido respecto de RNF-03.</t>
  </si>
  <si>
    <t>Considero que define el uso obligatorio de control de acceso basado en roles y los perfiles que deben diferenciarse.</t>
  </si>
  <si>
    <t>Se observa que la expresión «estrictamente necesario» no establece un criterio operativo para decidir qué datos son mínimos para cada finalidad.</t>
  </si>
  <si>
    <t>Se observa que no establece condiciones de habilitación, estados del mensaje, entrega ni criterios para comprobar que la mensajería funciona correctamente.</t>
  </si>
  <si>
    <t>Se observa que la «coincidencia mínima del 85 %» no especifica la métrica estadística ni cómo se resolverán desacuerdos entre veterinarios.</t>
  </si>
  <si>
    <t>Evaluador(a): Valeska Sofia Chica Valfre | Fecha de evaluación: 28/07/2026</t>
  </si>
  <si>
    <t>Se identifica que define la función de coordinación, sus participantes, el contexto presencial y la finalidad del encuentro.</t>
  </si>
  <si>
    <t>Valeska Sofia Chica Valfre</t>
  </si>
  <si>
    <t>La redacción presenta ambigüedad porque la «entrega correcta» no define tiempo máximo, acuse de recibo ni condición objetiva para declarar éxito o pérdida.</t>
  </si>
  <si>
    <t>La redacción presenta ambigüedad porque enumera factores de compatibilidad, pero no define el método, la escala ni el resultado mínimo esperado para comprobar la evaluación.</t>
  </si>
  <si>
    <t>Se identifica que incluye una métrica, umbral, plataforma o condición objetiva que permite comprobar su cumplimiento.</t>
  </si>
  <si>
    <t>Se identifica que la restricción técnica u organizativa establece un mecanismo, tecnología o condición concreta aplicable al diseño.</t>
  </si>
  <si>
    <t>La redacción presenta ambigüedad porque los términos «contenido esperado», «inapropiadas» y «criterios establecidos» carecen de reglas o umbrales explícitos.</t>
  </si>
  <si>
    <t>La redacción presenta ambigüedad porque la frase «información requerida» no identifica los datos o documentos concretos necesarios para considerar verificada la identidad.</t>
  </si>
  <si>
    <t>La redacción presenta ambigüedad porque agrupa el deber de información y el derecho de acceso gratuito en un mismo enunciado, aunque requieren verificaciones diferentes.</t>
  </si>
  <si>
    <t>Se identifica que la función, los datos o condiciones principales y el resultado esperado están suficientemente delimitados para diseñar una prueba funcional.</t>
  </si>
  <si>
    <t>La redacción presenta ambigüedad porque no se define el umbral de una «disparidad de tamaño significativa», por lo que la activación de la alerta puede variar.</t>
  </si>
  <si>
    <t>La redacción presenta ambigüedad porque los principios de protección desde el diseño y por defecto son amplios y no se traducen en controles verificables concretos.</t>
  </si>
  <si>
    <t>Se identifica que la obligación legal identifica el derecho o deber aplicable y establece condiciones suficientemente explícitas para su verificación.</t>
  </si>
  <si>
    <t>Se identifica que aunque reúne registrar y actualizar, ambas operaciones pertenecen al mismo historial y los datos incluidos están enumerados.</t>
  </si>
  <si>
    <t>La redacción presenta ambigüedad porque la expresión «dentro de un plazo definido» no establece el número de días para ejecutar la supresión o anonimización.</t>
  </si>
  <si>
    <t>Se identifica que establece un umbral del 95 % y dos clases de salida, por lo que puede validarse con un conjunto de imágenes etiquetadas.</t>
  </si>
  <si>
    <t>La redacción presenta ambigüedad porque integra el envío, la revisión y la aceptación o rechazo de la solicitud en un solo requisito, aunque son comportamientos verificables distintos.</t>
  </si>
  <si>
    <t>La redacción presenta ambigüedad porque no precisa qué se entiende por «afecciones específicas» ni las reglas exactas de visibilidad para cada tipo de usuario.</t>
  </si>
  <si>
    <t>La redacción presenta ambigüedad porque el verbo «validar» puede significar revisión documental, certificación profesional o confirmación clínica, sin delimitar su alcance.</t>
  </si>
  <si>
    <t>La redacción presenta ambigüedad porque los conceptos «módulos independientes» y «facilitar el mantenimiento» no incluyen criterios técnicos para medir el desacoplamiento.</t>
  </si>
  <si>
    <t>La redacción presenta ambigüedad porque la expresión «toda la información autorizada» no define el conjunto mínimo de campos que debe incluir cada publicación.</t>
  </si>
  <si>
    <t>La redacción presenta ambigüedad porque indica incorporar IA, pero no precisa interfaces, responsabilidades ni criterios mínimos de integración de los componentes.</t>
  </si>
  <si>
    <t>La redacción presenta ambigüedad porque no define cómo se representará ni calculará el «grado de parentesco», lo que admite interpretaciones distintas.</t>
  </si>
  <si>
    <t>La redacción presenta ambigüedad porque plantea «anonimizar o seudonimizar» sin indicar cuándo aplicar cada técnica ni qué identificadores deben retirarse.</t>
  </si>
  <si>
    <t>La redacción presenta ambigüedad porque la expresión «perfil completo» no delimita con precisión qué campos deben mostrarse para cada rol o proceso.</t>
  </si>
  <si>
    <t>La redacción presenta ambigüedad porque reúne la creación de la solicitud y su aceptación o rechazo, y además usa la expresión abierta «información disponible».</t>
  </si>
  <si>
    <t>La redacción presenta ambigüedad porque la expresión «contacto periódico» no establece frecuencia, duración ni eventos mínimos del seguimiento post-adopción.</t>
  </si>
  <si>
    <t>La redacción presenta ambigüedad porque la expresión «sin degradar significativamente» no fija un porcentaje de degradación permitido respecto de RNF-03.</t>
  </si>
  <si>
    <t>La redacción presenta ambigüedad porque enumera roles, pero no define la matriz de permisos o las operaciones permitidas y prohibidas para cada uno.</t>
  </si>
  <si>
    <t>La redacción presenta ambigüedad porque la expresión «estrictamente necesario» no establece un criterio operativo para decidir qué datos son mínimos para cada finalidad.</t>
  </si>
  <si>
    <t>La redacción presenta ambigüedad porque no establece condiciones de habilitación, estados del mensaje, entrega ni criterios para comprobar que la mensajería funciona correctamente.</t>
  </si>
  <si>
    <t>La redacción presenta ambigüedad porque la «coincidencia mínima del 85 %» no especifica la métrica estadística ni cómo se resolverán desacuerdos entre veterinarios.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</si>
</sst>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ont>
    <font>
      <sz val="10"/>
      <name val="Times New Roman"/>
    </font>
    <font>
      <b/>
      <sz val="16"/>
      <color rgb="FF006E3C"/>
      <name val="Times New Roman"/>
    </font>
    <font>
      <sz val="11"/>
      <color theme="1"/>
      <name val="Times New Roman"/>
    </font>
    <font>
      <i/>
      <sz val="11"/>
      <color rgb="FF555555"/>
      <name val="Times New Roman"/>
    </font>
    <font>
      <b/>
      <sz val="10"/>
      <name val="Times New Roman"/>
    </font>
    <font>
      <i/>
      <sz val="9"/>
      <color rgb="FF777777"/>
      <name val="Times New Roman"/>
    </font>
    <font>
      <sz val="11"/>
      <name val="Times New Roman"/>
    </font>
    <font>
      <b/>
      <sz val="11"/>
      <color rgb="FF006E3C"/>
      <name val="Times New Roman"/>
    </font>
    <font>
      <b/>
      <sz val="11"/>
      <name val="Times New Roman"/>
    </font>
    <font>
      <i/>
      <sz val="11"/>
      <color rgb="FF777777"/>
      <name val="Times New Roman"/>
    </font>
    <font>
      <b/>
      <sz val="11"/>
      <color rgb="FFFFFFFF"/>
      <name val="Times New Roman"/>
    </font>
    <font>
      <i/>
      <sz val="10"/>
      <color rgb="FF555555"/>
      <name val="Times New Roman"/>
    </font>
    <font>
      <b/>
      <sz val="10"/>
      <color rgb="FFFFFFFF"/>
      <name val="Times New Roman"/>
    </font>
    <font>
      <sz val="10"/>
      <color theme="1"/>
      <name val="Times New Roman"/>
    </font>
    <font>
      <b/>
      <sz val="10"/>
      <color theme="1"/>
      <name val="Times New Roman"/>
    </font>
    <font>
      <i/>
      <sz val="9"/>
      <color rgb="FF555555"/>
      <name val="Times New Roman"/>
    </font>
    <font>
      <b/>
      <sz val="14"/>
      <color rgb="FFC00000"/>
      <name val="Times New Roman"/>
    </font>
    <font>
      <b/>
      <sz val="10"/>
      <color rgb="FF006E3C"/>
      <name val="Times New Roman"/>
    </font>
  </fonts>
  <fills count="9">
    <fill>
      <patternFill patternType="none"/>
    </fill>
    <fill>
      <patternFill patternType="gray125"/>
    </fill>
    <fill>
      <patternFill patternType="solid">
        <fgColor rgb="FFE6F2EC"/>
      </patternFill>
    </fill>
    <fill>
      <patternFill patternType="solid">
        <fgColor rgb="FF006E3C"/>
      </patternFill>
    </fill>
    <fill>
      <patternFill patternType="solid">
        <fgColor rgb="FFFFF9CC"/>
      </patternFill>
    </fill>
    <fill>
      <patternFill patternType="solid">
        <fgColor rgb="FF006E3C"/>
      </patternFill>
    </fill>
    <fill>
      <patternFill patternType="solid">
        <fgColor rgb="FFF2F2F2"/>
      </patternFill>
    </fill>
    <fill>
      <patternFill patternType="solid">
        <fgColor rgb="FFFFF9CC"/>
      </patternFill>
    </fill>
    <fill>
      <patternFill patternType="solid">
        <fgColor rgb="FFE6F2EC"/>
      </patternFill>
    </fill>
  </fills>
  <borders count="13">
    <border>
      <left/>
      <right/>
      <top/>
      <bottom/>
      <diagonal/>
    </border>
    <border>
      <left style="thin">
        <color rgb="FFBBBBBB"/>
      </left>
      <right style="thin">
        <color rgb="FFBBBBBB"/>
      </right>
      <top style="thin">
        <color rgb="FFBBBBBB"/>
      </top>
      <bottom style="thin">
        <color rgb="FFBBBBBB"/>
      </bottom>
      <diagonal/>
    </border>
    <border>
      <left style="thin">
        <color rgb="FFBBBBBB"/>
      </left>
      <right/>
      <top style="thin">
        <color rgb="FFBBBBBB"/>
      </top>
      <bottom style="thin">
        <color rgb="FFBBBBBB"/>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
      <left style="thin">
        <color rgb="FFBBBBBB"/>
      </left>
      <right/>
      <top style="thin">
        <color rgb="FFBBBBBB"/>
      </top>
      <bottom/>
      <diagonal/>
    </border>
    <border>
      <left/>
      <right/>
      <top style="thin">
        <color rgb="FFBBBBBB"/>
      </top>
      <bottom/>
      <diagonal/>
    </border>
    <border>
      <left/>
      <right style="thin">
        <color rgb="FFBBBBBB"/>
      </right>
      <top style="thin">
        <color rgb="FFBBBBBB"/>
      </top>
      <bottom/>
      <diagonal/>
    </border>
    <border>
      <left style="thin">
        <color rgb="FFBBBBBB"/>
      </left>
      <right/>
      <top/>
      <bottom/>
      <diagonal/>
    </border>
    <border>
      <left/>
      <right style="thin">
        <color rgb="FFBBBBBB"/>
      </right>
      <top/>
      <bottom/>
      <diagonal/>
    </border>
    <border>
      <left style="thin">
        <color rgb="FFBBBBBB"/>
      </left>
      <right/>
      <top/>
      <bottom style="thin">
        <color rgb="FFBBBBBB"/>
      </bottom>
      <diagonal/>
    </border>
    <border>
      <left/>
      <right/>
      <top/>
      <bottom style="thin">
        <color rgb="FFBBBBBB"/>
      </bottom>
      <diagonal/>
    </border>
    <border>
      <left/>
      <right style="thin">
        <color rgb="FFBBBBBB"/>
      </right>
      <top/>
      <bottom style="thin">
        <color rgb="FFBBBBBB"/>
      </bottom>
      <diagonal/>
    </border>
  </borders>
  <cellStyleXfs count="1">
    <xf numFmtId="0" fontId="0" fillId="0" borderId="0"/>
  </cellStyleXfs>
  <cellXfs count="64">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7" fillId="0" borderId="0" xfId="0" applyFont="1" applyAlignment="1">
      <alignment horizontal="left" vertical="top" wrapText="1"/>
    </xf>
    <xf numFmtId="0" fontId="8" fillId="0" borderId="0" xfId="0" applyFont="1"/>
    <xf numFmtId="0" fontId="9" fillId="2" borderId="0" xfId="0" applyFont="1" applyFill="1" applyAlignment="1">
      <alignment vertical="center"/>
    </xf>
    <xf numFmtId="0" fontId="10" fillId="0" borderId="0" xfId="0" applyFont="1"/>
    <xf numFmtId="0" fontId="11" fillId="3" borderId="1" xfId="0" applyFont="1" applyFill="1" applyBorder="1" applyAlignment="1">
      <alignment horizontal="center" vertical="center" wrapText="1"/>
    </xf>
    <xf numFmtId="0" fontId="5" fillId="0" borderId="1" xfId="0" applyFont="1" applyBorder="1" applyAlignment="1">
      <alignment horizontal="left" vertical="top" wrapText="1"/>
    </xf>
    <xf numFmtId="0" fontId="1" fillId="0" borderId="1" xfId="0" applyFont="1" applyBorder="1" applyAlignment="1">
      <alignment horizontal="left" vertical="top" wrapText="1"/>
    </xf>
    <xf numFmtId="0" fontId="13" fillId="5" borderId="1" xfId="0" applyNumberFormat="1" applyFont="1" applyFill="1" applyBorder="1" applyAlignment="1">
      <alignment horizontal="center" vertical="center" wrapText="1"/>
    </xf>
    <xf numFmtId="0" fontId="6" fillId="6" borderId="1" xfId="0" applyNumberFormat="1" applyFont="1" applyFill="1" applyBorder="1" applyAlignment="1">
      <alignment horizontal="left" vertical="top" wrapText="1"/>
    </xf>
    <xf numFmtId="0" fontId="14" fillId="7" borderId="1" xfId="0" applyNumberFormat="1" applyFont="1" applyFill="1" applyBorder="1" applyAlignment="1">
      <alignment horizontal="left" vertical="top" wrapText="1"/>
    </xf>
    <xf numFmtId="0" fontId="1" fillId="7" borderId="1" xfId="0" applyNumberFormat="1" applyFont="1" applyFill="1" applyBorder="1" applyAlignment="1">
      <alignment horizontal="center" vertical="top" wrapText="1"/>
    </xf>
    <xf numFmtId="0" fontId="14" fillId="0" borderId="3" xfId="0" applyNumberFormat="1" applyFont="1" applyFill="1" applyBorder="1" applyAlignment="1">
      <alignment vertical="top" wrapText="1"/>
    </xf>
    <xf numFmtId="0" fontId="15" fillId="0" borderId="2" xfId="0" applyNumberFormat="1" applyFont="1" applyFill="1" applyBorder="1" applyAlignment="1">
      <alignment vertical="top" wrapText="1"/>
    </xf>
    <xf numFmtId="2" fontId="14" fillId="0" borderId="4" xfId="0" applyNumberFormat="1" applyFont="1" applyFill="1" applyBorder="1" applyAlignment="1">
      <alignment vertical="top" wrapText="1"/>
    </xf>
    <xf numFmtId="0" fontId="14" fillId="7" borderId="1" xfId="0" applyNumberFormat="1" applyFont="1" applyFill="1" applyBorder="1" applyAlignment="1">
      <alignment horizontal="center" vertical="top" wrapText="1"/>
    </xf>
    <xf numFmtId="0" fontId="13" fillId="5" borderId="2" xfId="0" applyNumberFormat="1" applyFont="1" applyFill="1" applyBorder="1" applyAlignment="1">
      <alignment horizontal="center" vertical="center" wrapText="1"/>
    </xf>
    <xf numFmtId="0" fontId="13" fillId="5" borderId="3" xfId="0" applyNumberFormat="1" applyFont="1" applyFill="1" applyBorder="1" applyAlignment="1">
      <alignment horizontal="center" vertical="center" wrapText="1"/>
    </xf>
    <xf numFmtId="0" fontId="13" fillId="5" borderId="4" xfId="0" applyNumberFormat="1" applyFont="1" applyFill="1" applyBorder="1" applyAlignment="1">
      <alignment horizontal="center" vertical="center" wrapText="1"/>
    </xf>
    <xf numFmtId="0" fontId="6" fillId="6" borderId="2" xfId="0" applyNumberFormat="1" applyFont="1" applyFill="1" applyBorder="1" applyAlignment="1">
      <alignment vertical="top" wrapText="1"/>
    </xf>
    <xf numFmtId="0" fontId="6" fillId="6" borderId="3" xfId="0" applyNumberFormat="1" applyFont="1" applyFill="1" applyBorder="1" applyAlignment="1">
      <alignment vertical="top" wrapText="1"/>
    </xf>
    <xf numFmtId="0" fontId="6" fillId="6" borderId="4" xfId="0" applyNumberFormat="1" applyFont="1" applyFill="1" applyBorder="1" applyAlignment="1">
      <alignment vertical="top" wrapText="1"/>
    </xf>
    <xf numFmtId="0" fontId="14" fillId="7" borderId="6" xfId="0" applyNumberFormat="1" applyFont="1" applyFill="1" applyBorder="1" applyAlignment="1">
      <alignment vertical="top" wrapText="1"/>
    </xf>
    <xf numFmtId="0" fontId="14" fillId="7" borderId="0" xfId="0" applyNumberFormat="1" applyFont="1" applyFill="1" applyBorder="1" applyAlignment="1">
      <alignment vertical="top" wrapText="1"/>
    </xf>
    <xf numFmtId="0" fontId="14" fillId="7" borderId="11" xfId="0" applyNumberFormat="1" applyFont="1" applyFill="1" applyBorder="1" applyAlignment="1">
      <alignment vertical="top" wrapText="1"/>
    </xf>
    <xf numFmtId="0" fontId="14" fillId="7" borderId="5" xfId="0" applyNumberFormat="1" applyFont="1" applyFill="1" applyBorder="1" applyAlignment="1">
      <alignment horizontal="center" vertical="top" wrapText="1"/>
    </xf>
    <xf numFmtId="0" fontId="14" fillId="7" borderId="8" xfId="0" applyNumberFormat="1" applyFont="1" applyFill="1" applyBorder="1" applyAlignment="1">
      <alignment horizontal="center" vertical="top" wrapText="1"/>
    </xf>
    <xf numFmtId="0" fontId="14" fillId="7" borderId="10" xfId="0" applyNumberFormat="1" applyFont="1" applyFill="1" applyBorder="1" applyAlignment="1">
      <alignment horizontal="center" vertical="top" wrapText="1"/>
    </xf>
    <xf numFmtId="0" fontId="14" fillId="7" borderId="6" xfId="0" applyNumberFormat="1" applyFont="1" applyFill="1" applyBorder="1" applyAlignment="1">
      <alignment horizontal="center" vertical="top" wrapText="1"/>
    </xf>
    <xf numFmtId="0" fontId="14" fillId="7" borderId="0" xfId="0" applyNumberFormat="1" applyFont="1" applyFill="1" applyBorder="1" applyAlignment="1">
      <alignment horizontal="center" vertical="top" wrapText="1"/>
    </xf>
    <xf numFmtId="0" fontId="14" fillId="7" borderId="11" xfId="0" applyNumberFormat="1" applyFont="1" applyFill="1" applyBorder="1" applyAlignment="1">
      <alignment horizontal="center" vertical="top" wrapText="1"/>
    </xf>
    <xf numFmtId="0" fontId="14" fillId="7" borderId="7" xfId="0" applyNumberFormat="1" applyFont="1" applyFill="1" applyBorder="1" applyAlignment="1">
      <alignment horizontal="center" vertical="top" wrapText="1"/>
    </xf>
    <xf numFmtId="0" fontId="14" fillId="7" borderId="9" xfId="0" applyNumberFormat="1" applyFont="1" applyFill="1" applyBorder="1" applyAlignment="1">
      <alignment horizontal="center" vertical="top" wrapText="1"/>
    </xf>
    <xf numFmtId="0" fontId="14" fillId="7" borderId="12" xfId="0" applyNumberFormat="1" applyFont="1" applyFill="1" applyBorder="1" applyAlignment="1">
      <alignment horizontal="center" vertical="top" wrapText="1"/>
    </xf>
    <xf numFmtId="0" fontId="14" fillId="6" borderId="1" xfId="0" applyNumberFormat="1" applyFont="1" applyFill="1" applyBorder="1" applyAlignment="1">
      <alignment horizontal="left" vertical="top" wrapText="1"/>
    </xf>
    <xf numFmtId="0" fontId="1" fillId="0" borderId="1" xfId="0" applyNumberFormat="1" applyFont="1" applyFill="1" applyBorder="1" applyAlignment="1">
      <alignment horizontal="center" vertical="top" wrapText="1"/>
    </xf>
    <xf numFmtId="0" fontId="14" fillId="4" borderId="1" xfId="0" applyNumberFormat="1" applyFont="1" applyFill="1" applyBorder="1" applyAlignment="1">
      <alignment horizontal="center" vertical="top" wrapText="1"/>
    </xf>
    <xf numFmtId="0" fontId="14" fillId="6" borderId="1" xfId="0" applyNumberFormat="1" applyFont="1" applyFill="1" applyBorder="1" applyAlignment="1">
      <alignment horizontal="center" vertical="top" wrapText="1"/>
    </xf>
    <xf numFmtId="0" fontId="14" fillId="0" borderId="7" xfId="0" applyNumberFormat="1" applyFont="1" applyFill="1" applyBorder="1" applyAlignment="1">
      <alignment horizontal="center" vertical="top" wrapText="1"/>
    </xf>
    <xf numFmtId="0" fontId="14" fillId="0" borderId="9" xfId="0" applyNumberFormat="1" applyFont="1" applyFill="1" applyBorder="1" applyAlignment="1">
      <alignment horizontal="center" vertical="top" wrapText="1"/>
    </xf>
    <xf numFmtId="0" fontId="14" fillId="0" borderId="12" xfId="0" applyNumberFormat="1" applyFont="1" applyFill="1" applyBorder="1" applyAlignment="1">
      <alignment horizontal="center" vertical="top" wrapText="1"/>
    </xf>
    <xf numFmtId="0" fontId="7" fillId="0" borderId="0" xfId="0" applyNumberFormat="1" applyFont="1" applyFill="1" applyBorder="1" applyAlignment="1">
      <alignment horizontal="left" vertical="top" wrapText="1"/>
    </xf>
    <xf numFmtId="0" fontId="4" fillId="0" borderId="0" xfId="0" applyFont="1"/>
    <xf numFmtId="0" fontId="3" fillId="0" borderId="0" xfId="0" applyFont="1"/>
    <xf numFmtId="0" fontId="2" fillId="0" borderId="0" xfId="0" applyNumberFormat="1" applyFont="1" applyFill="1" applyBorder="1" applyAlignment="1">
      <alignment horizontal="left" vertical="center"/>
    </xf>
    <xf numFmtId="0" fontId="12" fillId="0" borderId="0" xfId="0" applyNumberFormat="1" applyFont="1" applyFill="1" applyBorder="1" applyAlignment="1">
      <alignment horizontal="left" vertical="center"/>
    </xf>
    <xf numFmtId="0" fontId="6" fillId="0" borderId="0" xfId="0" applyNumberFormat="1" applyFont="1" applyFill="1" applyBorder="1" applyAlignment="1">
      <alignment horizontal="left" vertical="center"/>
    </xf>
    <xf numFmtId="0" fontId="8" fillId="8" borderId="2" xfId="0" applyNumberFormat="1" applyFont="1" applyFill="1" applyBorder="1" applyAlignment="1">
      <alignment horizontal="left" vertical="center"/>
    </xf>
    <xf numFmtId="0" fontId="8" fillId="8" borderId="3" xfId="0" applyNumberFormat="1" applyFont="1" applyFill="1" applyBorder="1" applyAlignment="1">
      <alignment horizontal="left" vertical="center"/>
    </xf>
    <xf numFmtId="0" fontId="8" fillId="8" borderId="4" xfId="0" applyNumberFormat="1" applyFont="1" applyFill="1" applyBorder="1" applyAlignment="1">
      <alignment horizontal="left" vertical="center"/>
    </xf>
    <xf numFmtId="0" fontId="16" fillId="6" borderId="2" xfId="0" applyNumberFormat="1" applyFont="1" applyFill="1" applyBorder="1" applyAlignment="1">
      <alignment horizontal="left" vertical="center" wrapText="1"/>
    </xf>
    <xf numFmtId="0" fontId="16" fillId="6" borderId="3" xfId="0" applyNumberFormat="1" applyFont="1" applyFill="1" applyBorder="1" applyAlignment="1">
      <alignment horizontal="left" vertical="center" wrapText="1"/>
    </xf>
    <xf numFmtId="0" fontId="16" fillId="6" borderId="4" xfId="0" applyNumberFormat="1" applyFont="1" applyFill="1" applyBorder="1" applyAlignment="1">
      <alignment horizontal="left" vertical="center" wrapText="1"/>
    </xf>
    <xf numFmtId="0" fontId="17" fillId="0" borderId="0" xfId="0" applyNumberFormat="1" applyFont="1" applyFill="1" applyBorder="1" applyAlignment="1">
      <alignment horizontal="left" vertical="center"/>
    </xf>
    <xf numFmtId="0" fontId="18" fillId="8" borderId="2" xfId="0" applyNumberFormat="1" applyFont="1" applyFill="1" applyBorder="1" applyAlignment="1">
      <alignment vertical="center" wrapText="1"/>
    </xf>
    <xf numFmtId="0" fontId="18" fillId="8" borderId="3" xfId="0" applyNumberFormat="1" applyFont="1" applyFill="1" applyBorder="1" applyAlignment="1">
      <alignment vertical="center" wrapText="1"/>
    </xf>
    <xf numFmtId="0" fontId="18" fillId="8" borderId="4" xfId="0" applyNumberFormat="1" applyFont="1" applyFill="1" applyBorder="1" applyAlignment="1">
      <alignment vertical="center" wrapText="1"/>
    </xf>
    <xf numFmtId="0" fontId="16" fillId="6" borderId="2" xfId="0" applyNumberFormat="1" applyFont="1" applyFill="1" applyBorder="1" applyAlignment="1">
      <alignment vertical="center" wrapText="1"/>
    </xf>
    <xf numFmtId="0" fontId="16" fillId="6" borderId="3" xfId="0" applyNumberFormat="1" applyFont="1" applyFill="1" applyBorder="1" applyAlignment="1">
      <alignment vertical="center" wrapText="1"/>
    </xf>
    <xf numFmtId="0" fontId="16" fillId="6" borderId="4" xfId="0" applyNumberFormat="1" applyFont="1" applyFill="1" applyBorder="1" applyAlignment="1">
      <alignment vertical="center" wrapText="1"/>
    </xf>
  </cellXfs>
  <cellStyles count="1">
    <cellStyle name="Normal" xfId="0" builtinId="0"/>
  </cellStyles>
  <dxfs count="10">
    <dxf>
      <font>
        <b/>
        <color rgb="FF006100"/>
      </font>
      <fill>
        <patternFill patternType="solid">
          <bgColor rgb="FFEAF6EE"/>
        </patternFill>
      </fill>
    </dxf>
    <dxf>
      <font>
        <b/>
        <color rgb="FF9C0006"/>
      </font>
      <fill>
        <patternFill patternType="solid">
          <bgColor rgb="FFFDECEC"/>
        </patternFill>
      </fill>
    </dxf>
    <dxf>
      <font>
        <b/>
        <color rgb="FF006100"/>
      </font>
      <fill>
        <patternFill patternType="solid">
          <bgColor rgb="FFEAF6EE"/>
        </patternFill>
      </fill>
    </dxf>
    <dxf>
      <font>
        <b/>
        <color rgb="FF9C0006"/>
      </font>
      <fill>
        <patternFill patternType="solid">
          <bgColor rgb="FFFDECEC"/>
        </patternFill>
      </fill>
    </dxf>
    <dxf>
      <font>
        <b/>
        <color rgb="FF7F6000"/>
      </font>
      <fill>
        <patternFill patternType="solid">
          <bgColor rgb="FFFFF2CC"/>
        </patternFill>
      </fill>
    </dxf>
    <dxf>
      <font>
        <b/>
        <color rgb="FF006100"/>
      </font>
      <fill>
        <patternFill patternType="solid">
          <bgColor rgb="FFEAF6EE"/>
        </patternFill>
      </fill>
    </dxf>
    <dxf>
      <font>
        <b/>
        <color rgb="FF006100"/>
      </font>
      <fill>
        <patternFill patternType="solid">
          <bgColor rgb="FFEAF6EE"/>
        </patternFill>
      </fill>
    </dxf>
    <dxf>
      <font>
        <b/>
        <color rgb="FF9C0006"/>
      </font>
      <fill>
        <patternFill patternType="solid">
          <bgColor rgb="FFFDECEC"/>
        </patternFill>
      </fill>
    </dxf>
    <dxf>
      <font>
        <b/>
        <color rgb="FF006100"/>
      </font>
      <fill>
        <patternFill patternType="solid">
          <bgColor rgb="FFEAF6EE"/>
        </patternFill>
      </fill>
    </dxf>
    <dxf>
      <font>
        <b/>
        <color rgb="FF9C0006"/>
      </font>
      <fill>
        <patternFill patternType="solid">
          <bgColor rgb="FFFDEC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21"/>
  <sheetViews>
    <sheetView showGridLines="0" zoomScale="85" zoomScaleNormal="85" workbookViewId="0">
      <selection activeCell="B15" sqref="B15"/>
    </sheetView>
  </sheetViews>
  <sheetFormatPr baseColWidth="10" defaultColWidth="9.140625" defaultRowHeight="15" x14ac:dyDescent="0.25"/>
  <cols>
    <col min="1" max="1" width="3" style="2" customWidth="1"/>
    <col min="2" max="2" width="100" style="2" customWidth="1"/>
    <col min="3" max="16384" width="9.140625" style="2"/>
  </cols>
  <sheetData>
    <row r="2" spans="2:2" x14ac:dyDescent="0.25">
      <c r="B2" s="6" t="s">
        <v>0</v>
      </c>
    </row>
    <row r="3" spans="2:2" x14ac:dyDescent="0.25">
      <c r="B3" s="3" t="s">
        <v>1</v>
      </c>
    </row>
    <row r="5" spans="2:2" ht="18" customHeight="1" x14ac:dyDescent="0.25">
      <c r="B5" s="7" t="s">
        <v>2</v>
      </c>
    </row>
    <row r="6" spans="2:2" ht="42" customHeight="1" x14ac:dyDescent="0.25">
      <c r="B6" s="5" t="s">
        <v>3</v>
      </c>
    </row>
    <row r="8" spans="2:2" ht="18" customHeight="1" x14ac:dyDescent="0.25">
      <c r="B8" s="7" t="s">
        <v>4</v>
      </c>
    </row>
    <row r="9" spans="2:2" ht="42" customHeight="1" x14ac:dyDescent="0.25">
      <c r="B9" s="5" t="s">
        <v>5</v>
      </c>
    </row>
    <row r="11" spans="2:2" ht="18" customHeight="1" x14ac:dyDescent="0.25">
      <c r="B11" s="7" t="s">
        <v>6</v>
      </c>
    </row>
    <row r="12" spans="2:2" ht="92.1" customHeight="1" x14ac:dyDescent="0.25">
      <c r="B12" s="45" t="s">
        <v>31</v>
      </c>
    </row>
    <row r="14" spans="2:2" ht="18" customHeight="1" x14ac:dyDescent="0.25">
      <c r="B14" s="7" t="s">
        <v>7</v>
      </c>
    </row>
    <row r="15" spans="2:2" ht="27.95" customHeight="1" x14ac:dyDescent="0.25">
      <c r="B15" s="5" t="s">
        <v>32</v>
      </c>
    </row>
    <row r="17" spans="2:2" ht="18" customHeight="1" x14ac:dyDescent="0.25">
      <c r="B17" s="7" t="s">
        <v>8</v>
      </c>
    </row>
    <row r="18" spans="2:2" ht="48" customHeight="1" x14ac:dyDescent="0.25">
      <c r="B18" s="45" t="s">
        <v>33</v>
      </c>
    </row>
    <row r="21" spans="2:2" x14ac:dyDescent="0.25">
      <c r="B21" s="8"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D12"/>
  <sheetViews>
    <sheetView showGridLines="0" zoomScale="85" zoomScaleNormal="85" workbookViewId="0">
      <selection activeCell="C7" sqref="C7"/>
    </sheetView>
  </sheetViews>
  <sheetFormatPr baseColWidth="10" defaultColWidth="9.140625" defaultRowHeight="15" x14ac:dyDescent="0.25"/>
  <cols>
    <col min="1" max="1" width="3" style="2" customWidth="1"/>
    <col min="2" max="2" width="26" style="2" customWidth="1"/>
    <col min="3" max="4" width="45" style="2" customWidth="1"/>
    <col min="5" max="16384" width="9.140625" style="2"/>
  </cols>
  <sheetData>
    <row r="2" spans="2:4" ht="20.25" x14ac:dyDescent="0.3">
      <c r="B2" s="1" t="s">
        <v>10</v>
      </c>
    </row>
    <row r="3" spans="2:4" x14ac:dyDescent="0.25">
      <c r="B3" s="46" t="s">
        <v>11</v>
      </c>
      <c r="C3" s="47"/>
      <c r="D3" s="47"/>
    </row>
    <row r="5" spans="2:4" ht="21.95" customHeight="1" x14ac:dyDescent="0.25">
      <c r="B5" s="9" t="s">
        <v>12</v>
      </c>
      <c r="C5" s="9" t="s">
        <v>13</v>
      </c>
      <c r="D5" s="9" t="s">
        <v>14</v>
      </c>
    </row>
    <row r="6" spans="2:4" ht="42" customHeight="1" x14ac:dyDescent="0.25">
      <c r="B6" s="10" t="s">
        <v>15</v>
      </c>
      <c r="C6" s="11" t="s">
        <v>16</v>
      </c>
      <c r="D6" s="11" t="s">
        <v>17</v>
      </c>
    </row>
    <row r="7" spans="2:4" ht="56.1" customHeight="1" x14ac:dyDescent="0.25">
      <c r="B7" s="10" t="s">
        <v>18</v>
      </c>
      <c r="C7" s="11" t="s">
        <v>19</v>
      </c>
      <c r="D7" s="11" t="s">
        <v>20</v>
      </c>
    </row>
    <row r="8" spans="2:4" ht="56.1" customHeight="1" x14ac:dyDescent="0.25">
      <c r="B8" s="10" t="s">
        <v>21</v>
      </c>
      <c r="C8" s="11" t="s">
        <v>22</v>
      </c>
      <c r="D8" s="11" t="s">
        <v>23</v>
      </c>
    </row>
    <row r="9" spans="2:4" ht="56.1" customHeight="1" x14ac:dyDescent="0.25">
      <c r="B9" s="10" t="s">
        <v>24</v>
      </c>
      <c r="C9" s="11" t="s">
        <v>25</v>
      </c>
      <c r="D9" s="11" t="s">
        <v>26</v>
      </c>
    </row>
    <row r="10" spans="2:4" ht="42" customHeight="1" x14ac:dyDescent="0.25">
      <c r="B10" s="10" t="s">
        <v>27</v>
      </c>
      <c r="C10" s="11" t="s">
        <v>28</v>
      </c>
      <c r="D10" s="11" t="s">
        <v>29</v>
      </c>
    </row>
    <row r="12" spans="2:4" x14ac:dyDescent="0.25">
      <c r="B12" s="4" t="s">
        <v>30</v>
      </c>
    </row>
  </sheetData>
  <mergeCells count="1">
    <mergeCell ref="B3: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K62"/>
  <sheetViews>
    <sheetView showGridLines="0" topLeftCell="A58" zoomScale="85" zoomScaleNormal="85" workbookViewId="0">
      <selection activeCell="C8" sqref="C8"/>
    </sheetView>
  </sheetViews>
  <sheetFormatPr baseColWidth="10" defaultColWidth="9.140625" defaultRowHeight="15" x14ac:dyDescent="0.25"/>
  <cols>
    <col min="1" max="1" width="14" customWidth="1"/>
    <col min="2" max="2" width="12" customWidth="1"/>
    <col min="3" max="4" width="18" customWidth="1"/>
    <col min="5" max="5" width="27" customWidth="1"/>
    <col min="6" max="6" width="19" customWidth="1"/>
    <col min="7" max="10" width="18" customWidth="1"/>
    <col min="11" max="11" width="10" customWidth="1"/>
  </cols>
  <sheetData>
    <row r="1" spans="1:11" ht="26.1" customHeight="1" x14ac:dyDescent="0.25">
      <c r="A1" s="57" t="s">
        <v>201</v>
      </c>
      <c r="B1" s="57"/>
      <c r="C1" s="57"/>
      <c r="D1" s="57"/>
      <c r="E1" s="57"/>
      <c r="F1" s="57"/>
      <c r="G1" s="57"/>
      <c r="H1" s="57"/>
      <c r="I1" s="57"/>
      <c r="J1" s="57"/>
      <c r="K1" s="57"/>
    </row>
    <row r="2" spans="1:11" ht="30" customHeight="1" x14ac:dyDescent="0.25">
      <c r="A2" s="49" t="s">
        <v>202</v>
      </c>
      <c r="B2" s="49"/>
      <c r="C2" s="49"/>
      <c r="D2" s="49"/>
      <c r="E2" s="49"/>
      <c r="F2" s="49"/>
      <c r="G2" s="49"/>
      <c r="H2" s="49"/>
      <c r="I2" s="49"/>
      <c r="J2" s="49"/>
      <c r="K2" s="49"/>
    </row>
    <row r="4" spans="1:11" ht="38.1" customHeight="1" x14ac:dyDescent="0.25">
      <c r="A4" s="12" t="s">
        <v>36</v>
      </c>
      <c r="B4" s="12" t="s">
        <v>203</v>
      </c>
      <c r="C4" s="12" t="s">
        <v>204</v>
      </c>
      <c r="D4" s="12" t="s">
        <v>205</v>
      </c>
      <c r="E4" s="12" t="s">
        <v>206</v>
      </c>
      <c r="F4" s="12" t="s">
        <v>207</v>
      </c>
      <c r="G4" s="21" t="s">
        <v>208</v>
      </c>
      <c r="H4" s="21" t="s">
        <v>209</v>
      </c>
      <c r="I4" s="21" t="s">
        <v>210</v>
      </c>
      <c r="J4" s="21" t="s">
        <v>211</v>
      </c>
      <c r="K4" s="22" t="s">
        <v>212</v>
      </c>
    </row>
    <row r="5" spans="1:11" ht="27.95" customHeight="1" x14ac:dyDescent="0.25">
      <c r="A5" s="39" t="s">
        <v>51</v>
      </c>
      <c r="B5" s="40" t="s">
        <v>213</v>
      </c>
      <c r="C5" s="40" t="s">
        <v>214</v>
      </c>
      <c r="D5" s="38" t="s">
        <v>215</v>
      </c>
      <c r="E5" s="38" t="s">
        <v>216</v>
      </c>
      <c r="F5" s="41" t="s">
        <v>217</v>
      </c>
      <c r="G5" s="32" t="s">
        <v>46</v>
      </c>
      <c r="H5" s="32" t="s">
        <v>46</v>
      </c>
      <c r="I5" s="32" t="s">
        <v>46</v>
      </c>
      <c r="J5" s="32" t="s">
        <v>46</v>
      </c>
      <c r="K5" s="42" t="s">
        <v>218</v>
      </c>
    </row>
    <row r="6" spans="1:11" ht="27.95" customHeight="1" x14ac:dyDescent="0.25">
      <c r="A6" s="39" t="s">
        <v>56</v>
      </c>
      <c r="B6" s="40" t="s">
        <v>219</v>
      </c>
      <c r="C6" s="40" t="s">
        <v>220</v>
      </c>
      <c r="D6" s="38" t="s">
        <v>215</v>
      </c>
      <c r="E6" s="38" t="s">
        <v>216</v>
      </c>
      <c r="F6" s="41" t="s">
        <v>217</v>
      </c>
      <c r="G6" s="33" t="s">
        <v>46</v>
      </c>
      <c r="H6" s="33" t="s">
        <v>46</v>
      </c>
      <c r="I6" s="33" t="s">
        <v>61</v>
      </c>
      <c r="J6" s="33" t="s">
        <v>46</v>
      </c>
      <c r="K6" s="43" t="s">
        <v>221</v>
      </c>
    </row>
    <row r="7" spans="1:11" ht="27.95" customHeight="1" x14ac:dyDescent="0.25">
      <c r="A7" s="39" t="s">
        <v>59</v>
      </c>
      <c r="B7" s="40" t="s">
        <v>222</v>
      </c>
      <c r="C7" s="40" t="s">
        <v>214</v>
      </c>
      <c r="D7" s="38" t="s">
        <v>215</v>
      </c>
      <c r="E7" s="38" t="s">
        <v>216</v>
      </c>
      <c r="F7" s="41" t="s">
        <v>217</v>
      </c>
      <c r="G7" s="33" t="s">
        <v>61</v>
      </c>
      <c r="H7" s="33" t="s">
        <v>61</v>
      </c>
      <c r="I7" s="33" t="s">
        <v>61</v>
      </c>
      <c r="J7" s="33" t="s">
        <v>61</v>
      </c>
      <c r="K7" s="43" t="s">
        <v>218</v>
      </c>
    </row>
    <row r="8" spans="1:11" ht="27.95" customHeight="1" x14ac:dyDescent="0.25">
      <c r="A8" s="39" t="s">
        <v>63</v>
      </c>
      <c r="B8" s="40" t="s">
        <v>223</v>
      </c>
      <c r="C8" s="40" t="s">
        <v>220</v>
      </c>
      <c r="D8" s="38" t="s">
        <v>215</v>
      </c>
      <c r="E8" s="38" t="s">
        <v>216</v>
      </c>
      <c r="F8" s="41" t="s">
        <v>217</v>
      </c>
      <c r="G8" s="33" t="s">
        <v>46</v>
      </c>
      <c r="H8" s="33" t="s">
        <v>46</v>
      </c>
      <c r="I8" s="33" t="s">
        <v>46</v>
      </c>
      <c r="J8" s="33" t="s">
        <v>46</v>
      </c>
      <c r="K8" s="43" t="s">
        <v>218</v>
      </c>
    </row>
    <row r="9" spans="1:11" ht="27.95" customHeight="1" x14ac:dyDescent="0.25">
      <c r="A9" s="39" t="s">
        <v>66</v>
      </c>
      <c r="B9" s="40" t="s">
        <v>224</v>
      </c>
      <c r="C9" s="40" t="s">
        <v>225</v>
      </c>
      <c r="D9" s="38" t="s">
        <v>215</v>
      </c>
      <c r="E9" s="38" t="s">
        <v>216</v>
      </c>
      <c r="F9" s="41" t="s">
        <v>217</v>
      </c>
      <c r="G9" s="33" t="s">
        <v>46</v>
      </c>
      <c r="H9" s="33" t="s">
        <v>46</v>
      </c>
      <c r="I9" s="33" t="s">
        <v>46</v>
      </c>
      <c r="J9" s="33" t="s">
        <v>46</v>
      </c>
      <c r="K9" s="43" t="s">
        <v>218</v>
      </c>
    </row>
    <row r="10" spans="1:11" ht="27.95" customHeight="1" x14ac:dyDescent="0.25">
      <c r="A10" s="39" t="s">
        <v>69</v>
      </c>
      <c r="B10" s="40" t="s">
        <v>226</v>
      </c>
      <c r="C10" s="40" t="s">
        <v>220</v>
      </c>
      <c r="D10" s="38" t="s">
        <v>215</v>
      </c>
      <c r="E10" s="38" t="s">
        <v>216</v>
      </c>
      <c r="F10" s="41" t="s">
        <v>217</v>
      </c>
      <c r="G10" s="33" t="s">
        <v>46</v>
      </c>
      <c r="H10" s="33" t="s">
        <v>46</v>
      </c>
      <c r="I10" s="33" t="s">
        <v>46</v>
      </c>
      <c r="J10" s="33" t="s">
        <v>46</v>
      </c>
      <c r="K10" s="43" t="s">
        <v>218</v>
      </c>
    </row>
    <row r="11" spans="1:11" ht="27.95" customHeight="1" x14ac:dyDescent="0.25">
      <c r="A11" s="39" t="s">
        <v>71</v>
      </c>
      <c r="B11" s="40" t="s">
        <v>227</v>
      </c>
      <c r="C11" s="40" t="s">
        <v>214</v>
      </c>
      <c r="D11" s="38" t="s">
        <v>215</v>
      </c>
      <c r="E11" s="38" t="s">
        <v>216</v>
      </c>
      <c r="F11" s="41" t="s">
        <v>217</v>
      </c>
      <c r="G11" s="33" t="s">
        <v>61</v>
      </c>
      <c r="H11" s="33" t="s">
        <v>61</v>
      </c>
      <c r="I11" s="33" t="s">
        <v>61</v>
      </c>
      <c r="J11" s="33" t="s">
        <v>61</v>
      </c>
      <c r="K11" s="43" t="s">
        <v>218</v>
      </c>
    </row>
    <row r="12" spans="1:11" ht="27.95" customHeight="1" x14ac:dyDescent="0.25">
      <c r="A12" s="39" t="s">
        <v>74</v>
      </c>
      <c r="B12" s="40" t="s">
        <v>228</v>
      </c>
      <c r="C12" s="40" t="s">
        <v>214</v>
      </c>
      <c r="D12" s="38" t="s">
        <v>215</v>
      </c>
      <c r="E12" s="38" t="s">
        <v>216</v>
      </c>
      <c r="F12" s="41" t="s">
        <v>217</v>
      </c>
      <c r="G12" s="33" t="s">
        <v>61</v>
      </c>
      <c r="H12" s="33" t="s">
        <v>61</v>
      </c>
      <c r="I12" s="33" t="s">
        <v>61</v>
      </c>
      <c r="J12" s="33" t="s">
        <v>61</v>
      </c>
      <c r="K12" s="43" t="s">
        <v>218</v>
      </c>
    </row>
    <row r="13" spans="1:11" ht="27.95" customHeight="1" x14ac:dyDescent="0.25">
      <c r="A13" s="39" t="s">
        <v>77</v>
      </c>
      <c r="B13" s="40" t="s">
        <v>229</v>
      </c>
      <c r="C13" s="40" t="s">
        <v>220</v>
      </c>
      <c r="D13" s="38" t="s">
        <v>215</v>
      </c>
      <c r="E13" s="38" t="s">
        <v>216</v>
      </c>
      <c r="F13" s="41" t="s">
        <v>217</v>
      </c>
      <c r="G13" s="33" t="s">
        <v>46</v>
      </c>
      <c r="H13" s="33" t="s">
        <v>46</v>
      </c>
      <c r="I13" s="33" t="s">
        <v>46</v>
      </c>
      <c r="J13" s="33" t="s">
        <v>46</v>
      </c>
      <c r="K13" s="43" t="s">
        <v>218</v>
      </c>
    </row>
    <row r="14" spans="1:11" ht="27.95" customHeight="1" x14ac:dyDescent="0.25">
      <c r="A14" s="39" t="s">
        <v>79</v>
      </c>
      <c r="B14" s="40" t="s">
        <v>230</v>
      </c>
      <c r="C14" s="40" t="s">
        <v>220</v>
      </c>
      <c r="D14" s="38" t="s">
        <v>215</v>
      </c>
      <c r="E14" s="38" t="s">
        <v>216</v>
      </c>
      <c r="F14" s="41" t="s">
        <v>217</v>
      </c>
      <c r="G14" s="33" t="s">
        <v>46</v>
      </c>
      <c r="H14" s="33" t="s">
        <v>46</v>
      </c>
      <c r="I14" s="33" t="s">
        <v>46</v>
      </c>
      <c r="J14" s="33" t="s">
        <v>46</v>
      </c>
      <c r="K14" s="43" t="s">
        <v>218</v>
      </c>
    </row>
    <row r="15" spans="1:11" ht="27.95" customHeight="1" x14ac:dyDescent="0.25">
      <c r="A15" s="39" t="s">
        <v>81</v>
      </c>
      <c r="B15" s="40" t="s">
        <v>231</v>
      </c>
      <c r="C15" s="40" t="s">
        <v>232</v>
      </c>
      <c r="D15" s="38" t="s">
        <v>215</v>
      </c>
      <c r="E15" s="38" t="s">
        <v>216</v>
      </c>
      <c r="F15" s="41" t="s">
        <v>217</v>
      </c>
      <c r="G15" s="33" t="s">
        <v>61</v>
      </c>
      <c r="H15" s="33" t="s">
        <v>46</v>
      </c>
      <c r="I15" s="33" t="s">
        <v>61</v>
      </c>
      <c r="J15" s="33" t="s">
        <v>61</v>
      </c>
      <c r="K15" s="43" t="s">
        <v>221</v>
      </c>
    </row>
    <row r="16" spans="1:11" ht="27.95" customHeight="1" x14ac:dyDescent="0.25">
      <c r="A16" s="39" t="s">
        <v>84</v>
      </c>
      <c r="B16" s="40" t="s">
        <v>233</v>
      </c>
      <c r="C16" s="40" t="s">
        <v>220</v>
      </c>
      <c r="D16" s="38" t="s">
        <v>215</v>
      </c>
      <c r="E16" s="38" t="s">
        <v>216</v>
      </c>
      <c r="F16" s="41" t="s">
        <v>217</v>
      </c>
      <c r="G16" s="33" t="s">
        <v>46</v>
      </c>
      <c r="H16" s="33" t="s">
        <v>46</v>
      </c>
      <c r="I16" s="33" t="s">
        <v>46</v>
      </c>
      <c r="J16" s="33" t="s">
        <v>46</v>
      </c>
      <c r="K16" s="43" t="s">
        <v>218</v>
      </c>
    </row>
    <row r="17" spans="1:11" ht="27.95" customHeight="1" x14ac:dyDescent="0.25">
      <c r="A17" s="39" t="s">
        <v>86</v>
      </c>
      <c r="B17" s="40" t="s">
        <v>234</v>
      </c>
      <c r="C17" s="40" t="s">
        <v>220</v>
      </c>
      <c r="D17" s="38" t="s">
        <v>215</v>
      </c>
      <c r="E17" s="38" t="s">
        <v>216</v>
      </c>
      <c r="F17" s="41" t="s">
        <v>217</v>
      </c>
      <c r="G17" s="33" t="s">
        <v>46</v>
      </c>
      <c r="H17" s="33" t="s">
        <v>46</v>
      </c>
      <c r="I17" s="33" t="s">
        <v>46</v>
      </c>
      <c r="J17" s="33" t="s">
        <v>46</v>
      </c>
      <c r="K17" s="43" t="s">
        <v>218</v>
      </c>
    </row>
    <row r="18" spans="1:11" ht="27.95" customHeight="1" x14ac:dyDescent="0.25">
      <c r="A18" s="39" t="s">
        <v>88</v>
      </c>
      <c r="B18" s="40" t="s">
        <v>235</v>
      </c>
      <c r="C18" s="40" t="s">
        <v>214</v>
      </c>
      <c r="D18" s="38" t="s">
        <v>215</v>
      </c>
      <c r="E18" s="38" t="s">
        <v>216</v>
      </c>
      <c r="F18" s="41" t="s">
        <v>217</v>
      </c>
      <c r="G18" s="33" t="s">
        <v>46</v>
      </c>
      <c r="H18" s="33" t="s">
        <v>46</v>
      </c>
      <c r="I18" s="33" t="s">
        <v>46</v>
      </c>
      <c r="J18" s="33" t="s">
        <v>46</v>
      </c>
      <c r="K18" s="43" t="s">
        <v>218</v>
      </c>
    </row>
    <row r="19" spans="1:11" ht="27.95" customHeight="1" x14ac:dyDescent="0.25">
      <c r="A19" s="39" t="s">
        <v>91</v>
      </c>
      <c r="B19" s="40" t="s">
        <v>236</v>
      </c>
      <c r="C19" s="40" t="s">
        <v>214</v>
      </c>
      <c r="D19" s="38" t="s">
        <v>215</v>
      </c>
      <c r="E19" s="38" t="s">
        <v>216</v>
      </c>
      <c r="F19" s="41" t="s">
        <v>217</v>
      </c>
      <c r="G19" s="33" t="s">
        <v>46</v>
      </c>
      <c r="H19" s="33" t="s">
        <v>46</v>
      </c>
      <c r="I19" s="33" t="s">
        <v>46</v>
      </c>
      <c r="J19" s="33" t="s">
        <v>46</v>
      </c>
      <c r="K19" s="43" t="s">
        <v>218</v>
      </c>
    </row>
    <row r="20" spans="1:11" ht="27.95" customHeight="1" x14ac:dyDescent="0.25">
      <c r="A20" s="39" t="s">
        <v>93</v>
      </c>
      <c r="B20" s="40" t="s">
        <v>237</v>
      </c>
      <c r="C20" s="40" t="s">
        <v>214</v>
      </c>
      <c r="D20" s="38" t="s">
        <v>215</v>
      </c>
      <c r="E20" s="38" t="s">
        <v>216</v>
      </c>
      <c r="F20" s="41" t="s">
        <v>217</v>
      </c>
      <c r="G20" s="33" t="s">
        <v>46</v>
      </c>
      <c r="H20" s="33" t="s">
        <v>46</v>
      </c>
      <c r="I20" s="33" t="s">
        <v>46</v>
      </c>
      <c r="J20" s="33" t="s">
        <v>46</v>
      </c>
      <c r="K20" s="43" t="s">
        <v>218</v>
      </c>
    </row>
    <row r="21" spans="1:11" ht="27.95" customHeight="1" x14ac:dyDescent="0.25">
      <c r="A21" s="39" t="s">
        <v>95</v>
      </c>
      <c r="B21" s="40" t="s">
        <v>238</v>
      </c>
      <c r="C21" s="40" t="s">
        <v>214</v>
      </c>
      <c r="D21" s="38" t="s">
        <v>215</v>
      </c>
      <c r="E21" s="38" t="s">
        <v>216</v>
      </c>
      <c r="F21" s="41" t="s">
        <v>217</v>
      </c>
      <c r="G21" s="33" t="s">
        <v>61</v>
      </c>
      <c r="H21" s="33" t="s">
        <v>61</v>
      </c>
      <c r="I21" s="33" t="s">
        <v>61</v>
      </c>
      <c r="J21" s="33" t="s">
        <v>61</v>
      </c>
      <c r="K21" s="43" t="s">
        <v>218</v>
      </c>
    </row>
    <row r="22" spans="1:11" ht="27.95" customHeight="1" x14ac:dyDescent="0.25">
      <c r="A22" s="39" t="s">
        <v>98</v>
      </c>
      <c r="B22" s="40" t="s">
        <v>239</v>
      </c>
      <c r="C22" s="40" t="s">
        <v>225</v>
      </c>
      <c r="D22" s="38" t="s">
        <v>215</v>
      </c>
      <c r="E22" s="38" t="s">
        <v>216</v>
      </c>
      <c r="F22" s="41" t="s">
        <v>217</v>
      </c>
      <c r="G22" s="33" t="s">
        <v>61</v>
      </c>
      <c r="H22" s="33" t="s">
        <v>61</v>
      </c>
      <c r="I22" s="33" t="s">
        <v>61</v>
      </c>
      <c r="J22" s="33" t="s">
        <v>61</v>
      </c>
      <c r="K22" s="43" t="s">
        <v>218</v>
      </c>
    </row>
    <row r="23" spans="1:11" ht="27.95" customHeight="1" x14ac:dyDescent="0.25">
      <c r="A23" s="39" t="s">
        <v>101</v>
      </c>
      <c r="B23" s="40" t="s">
        <v>240</v>
      </c>
      <c r="C23" s="40" t="s">
        <v>232</v>
      </c>
      <c r="D23" s="38" t="s">
        <v>215</v>
      </c>
      <c r="E23" s="38" t="s">
        <v>216</v>
      </c>
      <c r="F23" s="41" t="s">
        <v>217</v>
      </c>
      <c r="G23" s="33" t="s">
        <v>46</v>
      </c>
      <c r="H23" s="33" t="s">
        <v>46</v>
      </c>
      <c r="I23" s="33" t="s">
        <v>46</v>
      </c>
      <c r="J23" s="33" t="s">
        <v>46</v>
      </c>
      <c r="K23" s="43" t="s">
        <v>218</v>
      </c>
    </row>
    <row r="24" spans="1:11" ht="27.95" customHeight="1" x14ac:dyDescent="0.25">
      <c r="A24" s="39" t="s">
        <v>104</v>
      </c>
      <c r="B24" s="40" t="s">
        <v>241</v>
      </c>
      <c r="C24" s="40" t="s">
        <v>214</v>
      </c>
      <c r="D24" s="38" t="s">
        <v>215</v>
      </c>
      <c r="E24" s="38" t="s">
        <v>216</v>
      </c>
      <c r="F24" s="41" t="s">
        <v>217</v>
      </c>
      <c r="G24" s="33" t="s">
        <v>61</v>
      </c>
      <c r="H24" s="33" t="s">
        <v>46</v>
      </c>
      <c r="I24" s="33" t="s">
        <v>46</v>
      </c>
      <c r="J24" s="33" t="s">
        <v>46</v>
      </c>
      <c r="K24" s="43" t="s">
        <v>221</v>
      </c>
    </row>
    <row r="25" spans="1:11" ht="27.95" customHeight="1" x14ac:dyDescent="0.25">
      <c r="A25" s="39" t="s">
        <v>107</v>
      </c>
      <c r="B25" s="40" t="s">
        <v>242</v>
      </c>
      <c r="C25" s="40" t="s">
        <v>225</v>
      </c>
      <c r="D25" s="38" t="s">
        <v>215</v>
      </c>
      <c r="E25" s="38" t="s">
        <v>216</v>
      </c>
      <c r="F25" s="41" t="s">
        <v>217</v>
      </c>
      <c r="G25" s="33" t="s">
        <v>61</v>
      </c>
      <c r="H25" s="33" t="s">
        <v>61</v>
      </c>
      <c r="I25" s="33" t="s">
        <v>61</v>
      </c>
      <c r="J25" s="33" t="s">
        <v>61</v>
      </c>
      <c r="K25" s="43" t="s">
        <v>218</v>
      </c>
    </row>
    <row r="26" spans="1:11" ht="27.95" customHeight="1" x14ac:dyDescent="0.25">
      <c r="A26" s="39" t="s">
        <v>110</v>
      </c>
      <c r="B26" s="40" t="s">
        <v>243</v>
      </c>
      <c r="C26" s="40" t="s">
        <v>220</v>
      </c>
      <c r="D26" s="38" t="s">
        <v>215</v>
      </c>
      <c r="E26" s="38" t="s">
        <v>216</v>
      </c>
      <c r="F26" s="41" t="s">
        <v>217</v>
      </c>
      <c r="G26" s="33" t="s">
        <v>61</v>
      </c>
      <c r="H26" s="33" t="s">
        <v>46</v>
      </c>
      <c r="I26" s="33" t="s">
        <v>46</v>
      </c>
      <c r="J26" s="33" t="s">
        <v>46</v>
      </c>
      <c r="K26" s="43" t="s">
        <v>221</v>
      </c>
    </row>
    <row r="27" spans="1:11" ht="27.95" customHeight="1" x14ac:dyDescent="0.25">
      <c r="A27" s="39" t="s">
        <v>113</v>
      </c>
      <c r="B27" s="40" t="s">
        <v>244</v>
      </c>
      <c r="C27" s="40" t="s">
        <v>214</v>
      </c>
      <c r="D27" s="38" t="s">
        <v>215</v>
      </c>
      <c r="E27" s="38" t="s">
        <v>216</v>
      </c>
      <c r="F27" s="41" t="s">
        <v>217</v>
      </c>
      <c r="G27" s="33" t="s">
        <v>61</v>
      </c>
      <c r="H27" s="33" t="s">
        <v>61</v>
      </c>
      <c r="I27" s="33" t="s">
        <v>61</v>
      </c>
      <c r="J27" s="33" t="s">
        <v>61</v>
      </c>
      <c r="K27" s="43" t="s">
        <v>218</v>
      </c>
    </row>
    <row r="28" spans="1:11" ht="27.95" customHeight="1" x14ac:dyDescent="0.25">
      <c r="A28" s="39" t="s">
        <v>116</v>
      </c>
      <c r="B28" s="40" t="s">
        <v>245</v>
      </c>
      <c r="C28" s="40" t="s">
        <v>214</v>
      </c>
      <c r="D28" s="38" t="s">
        <v>215</v>
      </c>
      <c r="E28" s="38" t="s">
        <v>216</v>
      </c>
      <c r="F28" s="41" t="s">
        <v>217</v>
      </c>
      <c r="G28" s="33" t="s">
        <v>46</v>
      </c>
      <c r="H28" s="33" t="s">
        <v>46</v>
      </c>
      <c r="I28" s="33" t="s">
        <v>61</v>
      </c>
      <c r="J28" s="33" t="s">
        <v>46</v>
      </c>
      <c r="K28" s="43" t="s">
        <v>221</v>
      </c>
    </row>
    <row r="29" spans="1:11" ht="27.95" customHeight="1" x14ac:dyDescent="0.25">
      <c r="A29" s="39" t="s">
        <v>119</v>
      </c>
      <c r="B29" s="40" t="s">
        <v>246</v>
      </c>
      <c r="C29" s="40" t="s">
        <v>220</v>
      </c>
      <c r="D29" s="38" t="s">
        <v>215</v>
      </c>
      <c r="E29" s="38" t="s">
        <v>216</v>
      </c>
      <c r="F29" s="41" t="s">
        <v>217</v>
      </c>
      <c r="G29" s="33" t="s">
        <v>46</v>
      </c>
      <c r="H29" s="33" t="s">
        <v>46</v>
      </c>
      <c r="I29" s="33" t="s">
        <v>46</v>
      </c>
      <c r="J29" s="33" t="s">
        <v>46</v>
      </c>
      <c r="K29" s="43" t="s">
        <v>218</v>
      </c>
    </row>
    <row r="30" spans="1:11" ht="27.95" customHeight="1" x14ac:dyDescent="0.25">
      <c r="A30" s="39" t="s">
        <v>121</v>
      </c>
      <c r="B30" s="40" t="s">
        <v>247</v>
      </c>
      <c r="C30" s="40" t="s">
        <v>214</v>
      </c>
      <c r="D30" s="38" t="s">
        <v>215</v>
      </c>
      <c r="E30" s="38" t="s">
        <v>216</v>
      </c>
      <c r="F30" s="41" t="s">
        <v>217</v>
      </c>
      <c r="G30" s="33" t="s">
        <v>61</v>
      </c>
      <c r="H30" s="33" t="s">
        <v>61</v>
      </c>
      <c r="I30" s="33" t="s">
        <v>61</v>
      </c>
      <c r="J30" s="33" t="s">
        <v>61</v>
      </c>
      <c r="K30" s="43" t="s">
        <v>218</v>
      </c>
    </row>
    <row r="31" spans="1:11" ht="27.95" customHeight="1" x14ac:dyDescent="0.25">
      <c r="A31" s="39" t="s">
        <v>124</v>
      </c>
      <c r="B31" s="40" t="s">
        <v>248</v>
      </c>
      <c r="C31" s="40" t="s">
        <v>214</v>
      </c>
      <c r="D31" s="38" t="s">
        <v>215</v>
      </c>
      <c r="E31" s="38" t="s">
        <v>216</v>
      </c>
      <c r="F31" s="41" t="s">
        <v>217</v>
      </c>
      <c r="G31" s="33" t="s">
        <v>46</v>
      </c>
      <c r="H31" s="33" t="s">
        <v>46</v>
      </c>
      <c r="I31" s="33" t="s">
        <v>46</v>
      </c>
      <c r="J31" s="33" t="s">
        <v>46</v>
      </c>
      <c r="K31" s="43" t="s">
        <v>218</v>
      </c>
    </row>
    <row r="32" spans="1:11" ht="27.95" customHeight="1" x14ac:dyDescent="0.25">
      <c r="A32" s="39" t="s">
        <v>126</v>
      </c>
      <c r="B32" s="40" t="s">
        <v>249</v>
      </c>
      <c r="C32" s="40" t="s">
        <v>232</v>
      </c>
      <c r="D32" s="38" t="s">
        <v>215</v>
      </c>
      <c r="E32" s="38" t="s">
        <v>216</v>
      </c>
      <c r="F32" s="41" t="s">
        <v>217</v>
      </c>
      <c r="G32" s="33" t="s">
        <v>46</v>
      </c>
      <c r="H32" s="33" t="s">
        <v>46</v>
      </c>
      <c r="I32" s="33" t="s">
        <v>46</v>
      </c>
      <c r="J32" s="33" t="s">
        <v>46</v>
      </c>
      <c r="K32" s="43" t="s">
        <v>218</v>
      </c>
    </row>
    <row r="33" spans="1:11" ht="27.95" customHeight="1" x14ac:dyDescent="0.25">
      <c r="A33" s="39" t="s">
        <v>128</v>
      </c>
      <c r="B33" s="40" t="s">
        <v>250</v>
      </c>
      <c r="C33" s="40" t="s">
        <v>214</v>
      </c>
      <c r="D33" s="38" t="s">
        <v>215</v>
      </c>
      <c r="E33" s="38" t="s">
        <v>216</v>
      </c>
      <c r="F33" s="41" t="s">
        <v>217</v>
      </c>
      <c r="G33" s="33" t="s">
        <v>46</v>
      </c>
      <c r="H33" s="33" t="s">
        <v>46</v>
      </c>
      <c r="I33" s="33" t="s">
        <v>46</v>
      </c>
      <c r="J33" s="33" t="s">
        <v>46</v>
      </c>
      <c r="K33" s="43" t="s">
        <v>218</v>
      </c>
    </row>
    <row r="34" spans="1:11" ht="27.95" customHeight="1" x14ac:dyDescent="0.25">
      <c r="A34" s="39" t="s">
        <v>130</v>
      </c>
      <c r="B34" s="40" t="s">
        <v>251</v>
      </c>
      <c r="C34" s="40" t="s">
        <v>220</v>
      </c>
      <c r="D34" s="38" t="s">
        <v>215</v>
      </c>
      <c r="E34" s="38" t="s">
        <v>216</v>
      </c>
      <c r="F34" s="41" t="s">
        <v>217</v>
      </c>
      <c r="G34" s="33" t="s">
        <v>46</v>
      </c>
      <c r="H34" s="33" t="s">
        <v>46</v>
      </c>
      <c r="I34" s="33" t="s">
        <v>46</v>
      </c>
      <c r="J34" s="33" t="s">
        <v>46</v>
      </c>
      <c r="K34" s="43" t="s">
        <v>218</v>
      </c>
    </row>
    <row r="35" spans="1:11" ht="27.95" customHeight="1" x14ac:dyDescent="0.25">
      <c r="A35" s="39" t="s">
        <v>132</v>
      </c>
      <c r="B35" s="40" t="s">
        <v>252</v>
      </c>
      <c r="C35" s="40" t="s">
        <v>225</v>
      </c>
      <c r="D35" s="38" t="s">
        <v>215</v>
      </c>
      <c r="E35" s="38" t="s">
        <v>216</v>
      </c>
      <c r="F35" s="41" t="s">
        <v>217</v>
      </c>
      <c r="G35" s="33" t="s">
        <v>46</v>
      </c>
      <c r="H35" s="33" t="s">
        <v>46</v>
      </c>
      <c r="I35" s="33" t="s">
        <v>46</v>
      </c>
      <c r="J35" s="33" t="s">
        <v>46</v>
      </c>
      <c r="K35" s="43" t="s">
        <v>218</v>
      </c>
    </row>
    <row r="36" spans="1:11" ht="27.95" customHeight="1" x14ac:dyDescent="0.25">
      <c r="A36" s="39" t="s">
        <v>134</v>
      </c>
      <c r="B36" s="40" t="s">
        <v>253</v>
      </c>
      <c r="C36" s="40" t="s">
        <v>214</v>
      </c>
      <c r="D36" s="38" t="s">
        <v>215</v>
      </c>
      <c r="E36" s="38" t="s">
        <v>216</v>
      </c>
      <c r="F36" s="41" t="s">
        <v>217</v>
      </c>
      <c r="G36" s="33" t="s">
        <v>46</v>
      </c>
      <c r="H36" s="33" t="s">
        <v>46</v>
      </c>
      <c r="I36" s="33" t="s">
        <v>46</v>
      </c>
      <c r="J36" s="33" t="s">
        <v>46</v>
      </c>
      <c r="K36" s="43" t="s">
        <v>218</v>
      </c>
    </row>
    <row r="37" spans="1:11" ht="27.95" customHeight="1" x14ac:dyDescent="0.25">
      <c r="A37" s="39" t="s">
        <v>135</v>
      </c>
      <c r="B37" s="40" t="s">
        <v>254</v>
      </c>
      <c r="C37" s="40" t="s">
        <v>225</v>
      </c>
      <c r="D37" s="38" t="s">
        <v>215</v>
      </c>
      <c r="E37" s="38" t="s">
        <v>216</v>
      </c>
      <c r="F37" s="41" t="s">
        <v>217</v>
      </c>
      <c r="G37" s="33" t="s">
        <v>61</v>
      </c>
      <c r="H37" s="33" t="s">
        <v>61</v>
      </c>
      <c r="I37" s="33" t="s">
        <v>61</v>
      </c>
      <c r="J37" s="33" t="s">
        <v>61</v>
      </c>
      <c r="K37" s="43" t="s">
        <v>218</v>
      </c>
    </row>
    <row r="38" spans="1:11" ht="27.95" customHeight="1" x14ac:dyDescent="0.25">
      <c r="A38" s="39" t="s">
        <v>138</v>
      </c>
      <c r="B38" s="40" t="s">
        <v>255</v>
      </c>
      <c r="C38" s="40" t="s">
        <v>214</v>
      </c>
      <c r="D38" s="38" t="s">
        <v>215</v>
      </c>
      <c r="E38" s="38" t="s">
        <v>216</v>
      </c>
      <c r="F38" s="41" t="s">
        <v>217</v>
      </c>
      <c r="G38" s="33" t="s">
        <v>61</v>
      </c>
      <c r="H38" s="33" t="s">
        <v>61</v>
      </c>
      <c r="I38" s="33" t="s">
        <v>61</v>
      </c>
      <c r="J38" s="33" t="s">
        <v>61</v>
      </c>
      <c r="K38" s="43" t="s">
        <v>218</v>
      </c>
    </row>
    <row r="39" spans="1:11" ht="27.95" customHeight="1" x14ac:dyDescent="0.25">
      <c r="A39" s="39" t="s">
        <v>141</v>
      </c>
      <c r="B39" s="40" t="s">
        <v>256</v>
      </c>
      <c r="C39" s="40" t="s">
        <v>225</v>
      </c>
      <c r="D39" s="38" t="s">
        <v>215</v>
      </c>
      <c r="E39" s="38" t="s">
        <v>216</v>
      </c>
      <c r="F39" s="41" t="s">
        <v>217</v>
      </c>
      <c r="G39" s="33" t="s">
        <v>46</v>
      </c>
      <c r="H39" s="33" t="s">
        <v>46</v>
      </c>
      <c r="I39" s="33" t="s">
        <v>61</v>
      </c>
      <c r="J39" s="33" t="s">
        <v>46</v>
      </c>
      <c r="K39" s="43" t="s">
        <v>221</v>
      </c>
    </row>
    <row r="40" spans="1:11" ht="27.95" customHeight="1" x14ac:dyDescent="0.25">
      <c r="A40" s="39" t="s">
        <v>144</v>
      </c>
      <c r="B40" s="40" t="s">
        <v>257</v>
      </c>
      <c r="C40" s="40" t="s">
        <v>214</v>
      </c>
      <c r="D40" s="38" t="s">
        <v>215</v>
      </c>
      <c r="E40" s="38" t="s">
        <v>216</v>
      </c>
      <c r="F40" s="41" t="s">
        <v>217</v>
      </c>
      <c r="G40" s="33" t="s">
        <v>46</v>
      </c>
      <c r="H40" s="33" t="s">
        <v>46</v>
      </c>
      <c r="I40" s="33" t="s">
        <v>46</v>
      </c>
      <c r="J40" s="33" t="s">
        <v>46</v>
      </c>
      <c r="K40" s="43" t="s">
        <v>218</v>
      </c>
    </row>
    <row r="41" spans="1:11" ht="27.95" customHeight="1" x14ac:dyDescent="0.25">
      <c r="A41" s="39" t="s">
        <v>146</v>
      </c>
      <c r="B41" s="40" t="s">
        <v>258</v>
      </c>
      <c r="C41" s="40" t="s">
        <v>214</v>
      </c>
      <c r="D41" s="38" t="s">
        <v>215</v>
      </c>
      <c r="E41" s="38" t="s">
        <v>216</v>
      </c>
      <c r="F41" s="41" t="s">
        <v>217</v>
      </c>
      <c r="G41" s="33" t="s">
        <v>46</v>
      </c>
      <c r="H41" s="33" t="s">
        <v>46</v>
      </c>
      <c r="I41" s="33" t="s">
        <v>61</v>
      </c>
      <c r="J41" s="33" t="s">
        <v>46</v>
      </c>
      <c r="K41" s="43" t="s">
        <v>221</v>
      </c>
    </row>
    <row r="42" spans="1:11" ht="27.95" customHeight="1" x14ac:dyDescent="0.25">
      <c r="A42" s="39" t="s">
        <v>149</v>
      </c>
      <c r="B42" s="40" t="s">
        <v>259</v>
      </c>
      <c r="C42" s="40" t="s">
        <v>214</v>
      </c>
      <c r="D42" s="38" t="s">
        <v>215</v>
      </c>
      <c r="E42" s="38" t="s">
        <v>216</v>
      </c>
      <c r="F42" s="41" t="s">
        <v>217</v>
      </c>
      <c r="G42" s="33" t="s">
        <v>46</v>
      </c>
      <c r="H42" s="33" t="s">
        <v>46</v>
      </c>
      <c r="I42" s="33" t="s">
        <v>46</v>
      </c>
      <c r="J42" s="33" t="s">
        <v>46</v>
      </c>
      <c r="K42" s="43" t="s">
        <v>218</v>
      </c>
    </row>
    <row r="43" spans="1:11" ht="27.95" customHeight="1" x14ac:dyDescent="0.25">
      <c r="A43" s="39" t="s">
        <v>151</v>
      </c>
      <c r="B43" s="40" t="s">
        <v>260</v>
      </c>
      <c r="C43" s="40" t="s">
        <v>225</v>
      </c>
      <c r="D43" s="38" t="s">
        <v>215</v>
      </c>
      <c r="E43" s="38" t="s">
        <v>216</v>
      </c>
      <c r="F43" s="41" t="s">
        <v>217</v>
      </c>
      <c r="G43" s="33" t="s">
        <v>61</v>
      </c>
      <c r="H43" s="33" t="s">
        <v>61</v>
      </c>
      <c r="I43" s="33" t="s">
        <v>61</v>
      </c>
      <c r="J43" s="33" t="s">
        <v>61</v>
      </c>
      <c r="K43" s="43" t="s">
        <v>218</v>
      </c>
    </row>
    <row r="44" spans="1:11" ht="27.95" customHeight="1" x14ac:dyDescent="0.25">
      <c r="A44" s="39" t="s">
        <v>154</v>
      </c>
      <c r="B44" s="40" t="s">
        <v>261</v>
      </c>
      <c r="C44" s="40" t="s">
        <v>214</v>
      </c>
      <c r="D44" s="38" t="s">
        <v>215</v>
      </c>
      <c r="E44" s="38" t="s">
        <v>216</v>
      </c>
      <c r="F44" s="41" t="s">
        <v>217</v>
      </c>
      <c r="G44" s="33" t="s">
        <v>61</v>
      </c>
      <c r="H44" s="33" t="s">
        <v>61</v>
      </c>
      <c r="I44" s="33" t="s">
        <v>61</v>
      </c>
      <c r="J44" s="33" t="s">
        <v>61</v>
      </c>
      <c r="K44" s="43" t="s">
        <v>218</v>
      </c>
    </row>
    <row r="45" spans="1:11" ht="27.95" customHeight="1" x14ac:dyDescent="0.25">
      <c r="A45" s="39" t="s">
        <v>157</v>
      </c>
      <c r="B45" s="40" t="s">
        <v>262</v>
      </c>
      <c r="C45" s="40" t="s">
        <v>214</v>
      </c>
      <c r="D45" s="38" t="s">
        <v>215</v>
      </c>
      <c r="E45" s="38" t="s">
        <v>216</v>
      </c>
      <c r="F45" s="41" t="s">
        <v>217</v>
      </c>
      <c r="G45" s="33" t="s">
        <v>46</v>
      </c>
      <c r="H45" s="33" t="s">
        <v>46</v>
      </c>
      <c r="I45" s="33" t="s">
        <v>46</v>
      </c>
      <c r="J45" s="33" t="s">
        <v>46</v>
      </c>
      <c r="K45" s="43" t="s">
        <v>218</v>
      </c>
    </row>
    <row r="46" spans="1:11" ht="27.95" customHeight="1" x14ac:dyDescent="0.25">
      <c r="A46" s="39" t="s">
        <v>159</v>
      </c>
      <c r="B46" s="40" t="s">
        <v>263</v>
      </c>
      <c r="C46" s="40" t="s">
        <v>214</v>
      </c>
      <c r="D46" s="38" t="s">
        <v>215</v>
      </c>
      <c r="E46" s="38" t="s">
        <v>216</v>
      </c>
      <c r="F46" s="41" t="s">
        <v>217</v>
      </c>
      <c r="G46" s="33" t="s">
        <v>61</v>
      </c>
      <c r="H46" s="33" t="s">
        <v>61</v>
      </c>
      <c r="I46" s="33" t="s">
        <v>61</v>
      </c>
      <c r="J46" s="33" t="s">
        <v>61</v>
      </c>
      <c r="K46" s="43" t="s">
        <v>218</v>
      </c>
    </row>
    <row r="47" spans="1:11" ht="27.95" customHeight="1" x14ac:dyDescent="0.25">
      <c r="A47" s="39" t="s">
        <v>162</v>
      </c>
      <c r="B47" s="40" t="s">
        <v>264</v>
      </c>
      <c r="C47" s="40" t="s">
        <v>214</v>
      </c>
      <c r="D47" s="38" t="s">
        <v>215</v>
      </c>
      <c r="E47" s="38" t="s">
        <v>216</v>
      </c>
      <c r="F47" s="41" t="s">
        <v>217</v>
      </c>
      <c r="G47" s="33" t="s">
        <v>61</v>
      </c>
      <c r="H47" s="33" t="s">
        <v>61</v>
      </c>
      <c r="I47" s="33" t="s">
        <v>61</v>
      </c>
      <c r="J47" s="33" t="s">
        <v>61</v>
      </c>
      <c r="K47" s="43" t="s">
        <v>218</v>
      </c>
    </row>
    <row r="48" spans="1:11" ht="27.95" customHeight="1" x14ac:dyDescent="0.25">
      <c r="A48" s="39" t="s">
        <v>165</v>
      </c>
      <c r="B48" s="40" t="s">
        <v>265</v>
      </c>
      <c r="C48" s="40" t="s">
        <v>225</v>
      </c>
      <c r="D48" s="38" t="s">
        <v>215</v>
      </c>
      <c r="E48" s="38" t="s">
        <v>216</v>
      </c>
      <c r="F48" s="41" t="s">
        <v>217</v>
      </c>
      <c r="G48" s="33" t="s">
        <v>46</v>
      </c>
      <c r="H48" s="33" t="s">
        <v>46</v>
      </c>
      <c r="I48" s="33" t="s">
        <v>46</v>
      </c>
      <c r="J48" s="33" t="s">
        <v>46</v>
      </c>
      <c r="K48" s="43" t="s">
        <v>218</v>
      </c>
    </row>
    <row r="49" spans="1:11" ht="27.95" customHeight="1" x14ac:dyDescent="0.25">
      <c r="A49" s="39" t="s">
        <v>167</v>
      </c>
      <c r="B49" s="40" t="s">
        <v>266</v>
      </c>
      <c r="C49" s="40" t="s">
        <v>232</v>
      </c>
      <c r="D49" s="38" t="s">
        <v>215</v>
      </c>
      <c r="E49" s="38" t="s">
        <v>216</v>
      </c>
      <c r="F49" s="41" t="s">
        <v>217</v>
      </c>
      <c r="G49" s="33" t="s">
        <v>46</v>
      </c>
      <c r="H49" s="33" t="s">
        <v>46</v>
      </c>
      <c r="I49" s="33" t="s">
        <v>46</v>
      </c>
      <c r="J49" s="33" t="s">
        <v>46</v>
      </c>
      <c r="K49" s="43" t="s">
        <v>218</v>
      </c>
    </row>
    <row r="50" spans="1:11" ht="27.95" customHeight="1" x14ac:dyDescent="0.25">
      <c r="A50" s="39" t="s">
        <v>169</v>
      </c>
      <c r="B50" s="40" t="s">
        <v>267</v>
      </c>
      <c r="C50" s="40" t="s">
        <v>220</v>
      </c>
      <c r="D50" s="38" t="s">
        <v>215</v>
      </c>
      <c r="E50" s="38" t="s">
        <v>216</v>
      </c>
      <c r="F50" s="41" t="s">
        <v>217</v>
      </c>
      <c r="G50" s="33" t="s">
        <v>61</v>
      </c>
      <c r="H50" s="33" t="s">
        <v>61</v>
      </c>
      <c r="I50" s="33" t="s">
        <v>61</v>
      </c>
      <c r="J50" s="33" t="s">
        <v>61</v>
      </c>
      <c r="K50" s="43" t="s">
        <v>218</v>
      </c>
    </row>
    <row r="51" spans="1:11" ht="27.95" customHeight="1" x14ac:dyDescent="0.25">
      <c r="A51" s="39" t="s">
        <v>172</v>
      </c>
      <c r="B51" s="40" t="s">
        <v>268</v>
      </c>
      <c r="C51" s="40" t="s">
        <v>220</v>
      </c>
      <c r="D51" s="38" t="s">
        <v>215</v>
      </c>
      <c r="E51" s="38" t="s">
        <v>216</v>
      </c>
      <c r="F51" s="41" t="s">
        <v>217</v>
      </c>
      <c r="G51" s="33" t="s">
        <v>46</v>
      </c>
      <c r="H51" s="33" t="s">
        <v>46</v>
      </c>
      <c r="I51" s="33" t="s">
        <v>46</v>
      </c>
      <c r="J51" s="33" t="s">
        <v>46</v>
      </c>
      <c r="K51" s="43" t="s">
        <v>218</v>
      </c>
    </row>
    <row r="52" spans="1:11" ht="27.95" customHeight="1" x14ac:dyDescent="0.25">
      <c r="A52" s="39" t="s">
        <v>174</v>
      </c>
      <c r="B52" s="40" t="s">
        <v>269</v>
      </c>
      <c r="C52" s="40" t="s">
        <v>225</v>
      </c>
      <c r="D52" s="38" t="s">
        <v>215</v>
      </c>
      <c r="E52" s="38" t="s">
        <v>216</v>
      </c>
      <c r="F52" s="41" t="s">
        <v>217</v>
      </c>
      <c r="G52" s="33" t="s">
        <v>61</v>
      </c>
      <c r="H52" s="33" t="s">
        <v>46</v>
      </c>
      <c r="I52" s="33" t="s">
        <v>61</v>
      </c>
      <c r="J52" s="33" t="s">
        <v>61</v>
      </c>
      <c r="K52" s="43" t="s">
        <v>221</v>
      </c>
    </row>
    <row r="53" spans="1:11" ht="27.95" customHeight="1" x14ac:dyDescent="0.25">
      <c r="A53" s="39" t="s">
        <v>177</v>
      </c>
      <c r="B53" s="40" t="s">
        <v>270</v>
      </c>
      <c r="C53" s="40" t="s">
        <v>220</v>
      </c>
      <c r="D53" s="38" t="s">
        <v>215</v>
      </c>
      <c r="E53" s="38" t="s">
        <v>216</v>
      </c>
      <c r="F53" s="41" t="s">
        <v>217</v>
      </c>
      <c r="G53" s="33" t="s">
        <v>46</v>
      </c>
      <c r="H53" s="33" t="s">
        <v>46</v>
      </c>
      <c r="I53" s="33" t="s">
        <v>46</v>
      </c>
      <c r="J53" s="33" t="s">
        <v>46</v>
      </c>
      <c r="K53" s="43" t="s">
        <v>218</v>
      </c>
    </row>
    <row r="54" spans="1:11" ht="27.95" customHeight="1" x14ac:dyDescent="0.25">
      <c r="A54" s="39" t="s">
        <v>179</v>
      </c>
      <c r="B54" s="40" t="s">
        <v>271</v>
      </c>
      <c r="C54" s="40" t="s">
        <v>232</v>
      </c>
      <c r="D54" s="38" t="s">
        <v>215</v>
      </c>
      <c r="E54" s="38" t="s">
        <v>216</v>
      </c>
      <c r="F54" s="41" t="s">
        <v>217</v>
      </c>
      <c r="G54" s="33" t="s">
        <v>61</v>
      </c>
      <c r="H54" s="33" t="s">
        <v>61</v>
      </c>
      <c r="I54" s="33" t="s">
        <v>61</v>
      </c>
      <c r="J54" s="33" t="s">
        <v>61</v>
      </c>
      <c r="K54" s="43" t="s">
        <v>218</v>
      </c>
    </row>
    <row r="55" spans="1:11" ht="27.95" customHeight="1" x14ac:dyDescent="0.25">
      <c r="A55" s="39" t="s">
        <v>182</v>
      </c>
      <c r="B55" s="40" t="s">
        <v>272</v>
      </c>
      <c r="C55" s="40" t="s">
        <v>220</v>
      </c>
      <c r="D55" s="38" t="s">
        <v>215</v>
      </c>
      <c r="E55" s="38" t="s">
        <v>216</v>
      </c>
      <c r="F55" s="41" t="s">
        <v>217</v>
      </c>
      <c r="G55" s="33" t="s">
        <v>46</v>
      </c>
      <c r="H55" s="33" t="s">
        <v>46</v>
      </c>
      <c r="I55" s="33" t="s">
        <v>46</v>
      </c>
      <c r="J55" s="33" t="s">
        <v>46</v>
      </c>
      <c r="K55" s="43" t="s">
        <v>218</v>
      </c>
    </row>
    <row r="56" spans="1:11" ht="27.95" customHeight="1" x14ac:dyDescent="0.25">
      <c r="A56" s="39" t="s">
        <v>184</v>
      </c>
      <c r="B56" s="40" t="s">
        <v>273</v>
      </c>
      <c r="C56" s="40" t="s">
        <v>214</v>
      </c>
      <c r="D56" s="38" t="s">
        <v>215</v>
      </c>
      <c r="E56" s="38" t="s">
        <v>216</v>
      </c>
      <c r="F56" s="41" t="s">
        <v>217</v>
      </c>
      <c r="G56" s="33" t="s">
        <v>61</v>
      </c>
      <c r="H56" s="33" t="s">
        <v>61</v>
      </c>
      <c r="I56" s="33" t="s">
        <v>61</v>
      </c>
      <c r="J56" s="33" t="s">
        <v>61</v>
      </c>
      <c r="K56" s="43" t="s">
        <v>218</v>
      </c>
    </row>
    <row r="57" spans="1:11" ht="27.95" customHeight="1" x14ac:dyDescent="0.25">
      <c r="A57" s="39" t="s">
        <v>187</v>
      </c>
      <c r="B57" s="40" t="s">
        <v>274</v>
      </c>
      <c r="C57" s="40" t="s">
        <v>220</v>
      </c>
      <c r="D57" s="38" t="s">
        <v>215</v>
      </c>
      <c r="E57" s="38" t="s">
        <v>216</v>
      </c>
      <c r="F57" s="41" t="s">
        <v>217</v>
      </c>
      <c r="G57" s="33" t="s">
        <v>46</v>
      </c>
      <c r="H57" s="33" t="s">
        <v>46</v>
      </c>
      <c r="I57" s="33" t="s">
        <v>46</v>
      </c>
      <c r="J57" s="33" t="s">
        <v>46</v>
      </c>
      <c r="K57" s="43" t="s">
        <v>218</v>
      </c>
    </row>
    <row r="58" spans="1:11" ht="27.95" customHeight="1" x14ac:dyDescent="0.25">
      <c r="A58" s="39" t="s">
        <v>189</v>
      </c>
      <c r="B58" s="40" t="s">
        <v>275</v>
      </c>
      <c r="C58" s="40" t="s">
        <v>220</v>
      </c>
      <c r="D58" s="38" t="s">
        <v>215</v>
      </c>
      <c r="E58" s="38" t="s">
        <v>216</v>
      </c>
      <c r="F58" s="41" t="s">
        <v>217</v>
      </c>
      <c r="G58" s="33" t="s">
        <v>61</v>
      </c>
      <c r="H58" s="33" t="s">
        <v>61</v>
      </c>
      <c r="I58" s="33" t="s">
        <v>61</v>
      </c>
      <c r="J58" s="33" t="s">
        <v>61</v>
      </c>
      <c r="K58" s="43" t="s">
        <v>218</v>
      </c>
    </row>
    <row r="59" spans="1:11" ht="27.95" customHeight="1" x14ac:dyDescent="0.25">
      <c r="A59" s="39" t="s">
        <v>192</v>
      </c>
      <c r="B59" s="40" t="s">
        <v>276</v>
      </c>
      <c r="C59" s="40" t="s">
        <v>214</v>
      </c>
      <c r="D59" s="38" t="s">
        <v>215</v>
      </c>
      <c r="E59" s="38" t="s">
        <v>216</v>
      </c>
      <c r="F59" s="41" t="s">
        <v>217</v>
      </c>
      <c r="G59" s="34" t="s">
        <v>46</v>
      </c>
      <c r="H59" s="34" t="s">
        <v>46</v>
      </c>
      <c r="I59" s="34" t="s">
        <v>46</v>
      </c>
      <c r="J59" s="34" t="s">
        <v>46</v>
      </c>
      <c r="K59" s="44" t="s">
        <v>218</v>
      </c>
    </row>
    <row r="61" spans="1:11" ht="42" customHeight="1" x14ac:dyDescent="0.25">
      <c r="A61" s="58" t="s">
        <v>277</v>
      </c>
      <c r="B61" s="59"/>
      <c r="C61" s="59"/>
      <c r="D61" s="59"/>
      <c r="E61" s="59"/>
      <c r="F61" s="59"/>
      <c r="G61" s="59"/>
      <c r="H61" s="59"/>
      <c r="I61" s="59"/>
      <c r="J61" s="59"/>
      <c r="K61" s="60"/>
    </row>
    <row r="62" spans="1:11" ht="42" customHeight="1" x14ac:dyDescent="0.25">
      <c r="A62" s="61" t="s">
        <v>278</v>
      </c>
      <c r="B62" s="62"/>
      <c r="C62" s="62"/>
      <c r="D62" s="62"/>
      <c r="E62" s="62"/>
      <c r="F62" s="62"/>
      <c r="G62" s="62"/>
      <c r="H62" s="62"/>
      <c r="I62" s="62"/>
      <c r="J62" s="62"/>
      <c r="K62" s="63"/>
    </row>
  </sheetData>
  <mergeCells count="4">
    <mergeCell ref="A1:K1"/>
    <mergeCell ref="A2:K2"/>
    <mergeCell ref="A61:K61"/>
    <mergeCell ref="A62:K62"/>
  </mergeCells>
  <conditionalFormatting sqref="G5:J59">
    <cfRule type="expression" dxfId="7" priority="1">
      <formula>G5="Ambiguo"</formula>
    </cfRule>
    <cfRule type="expression" dxfId="6" priority="2">
      <formula>G5="No ambiguo"</formula>
    </cfRule>
  </conditionalFormatting>
  <conditionalFormatting sqref="K5:K59">
    <cfRule type="expression" dxfId="5" priority="3">
      <formula>K5="3/3"</formula>
    </cfRule>
    <cfRule type="expression" dxfId="4" priority="4">
      <formula>K5="2/3"</formula>
    </cfRule>
  </conditionalFormatting>
  <dataValidations count="3">
    <dataValidation type="list" allowBlank="1" sqref="C5:C59" xr:uid="{00000000-0002-0000-0300-000000000000}">
      <formula1>"RF,RNF,RD"</formula1>
    </dataValidation>
    <dataValidation type="list" allowBlank="1" sqref="D5:D59" xr:uid="{00000000-0002-0000-0300-000001000000}">
      <formula1>"Ambiguo,No ambiguo"</formula1>
    </dataValidation>
    <dataValidation type="list" allowBlank="1" sqref="F5:F59" xr:uid="{00000000-0002-0000-0300-000002000000}">
      <formula1>"Sí,No"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7"/>
  <sheetViews>
    <sheetView showGridLines="0" tabSelected="1" zoomScale="70" zoomScaleNormal="70" workbookViewId="0">
      <selection sqref="A1:H1"/>
    </sheetView>
  </sheetViews>
  <sheetFormatPr baseColWidth="10" defaultColWidth="9.140625" defaultRowHeight="15" x14ac:dyDescent="0.25"/>
  <cols>
    <col min="1" max="1" width="14" style="2" customWidth="1"/>
    <col min="2" max="2" width="64" style="2" customWidth="1"/>
    <col min="3" max="3" width="16" style="2" customWidth="1"/>
    <col min="4" max="4" width="29" style="2" customWidth="1"/>
    <col min="5" max="5" width="52" style="2" customWidth="1"/>
    <col min="6" max="6" width="13" style="2" customWidth="1"/>
    <col min="7" max="7" width="34" style="2" customWidth="1"/>
    <col min="8" max="8" width="14" style="2" customWidth="1"/>
    <col min="9" max="16384" width="9.140625" style="2"/>
  </cols>
  <sheetData>
    <row r="1" spans="1:8" ht="26.1" customHeight="1" x14ac:dyDescent="0.25">
      <c r="A1" s="48" t="s">
        <v>34</v>
      </c>
      <c r="B1" s="48"/>
      <c r="C1" s="48"/>
      <c r="D1" s="48"/>
      <c r="E1" s="48"/>
      <c r="F1" s="48"/>
      <c r="G1" s="48"/>
      <c r="H1" s="48"/>
    </row>
    <row r="2" spans="1:8" ht="21.95" customHeight="1" x14ac:dyDescent="0.25">
      <c r="A2" s="49" t="s">
        <v>35</v>
      </c>
      <c r="B2" s="49"/>
      <c r="C2" s="49"/>
      <c r="D2" s="49"/>
      <c r="E2" s="49"/>
      <c r="F2" s="49"/>
      <c r="G2" s="49"/>
      <c r="H2" s="49"/>
    </row>
    <row r="4" spans="1:8" ht="33.950000000000003" customHeight="1" x14ac:dyDescent="0.25">
      <c r="A4" s="12" t="s">
        <v>36</v>
      </c>
      <c r="B4" s="12" t="s">
        <v>37</v>
      </c>
      <c r="C4" s="12" t="s">
        <v>38</v>
      </c>
      <c r="D4" s="12" t="s">
        <v>39</v>
      </c>
      <c r="E4" s="12" t="s">
        <v>40</v>
      </c>
      <c r="F4" s="12" t="s">
        <v>41</v>
      </c>
      <c r="G4" s="12" t="s">
        <v>42</v>
      </c>
      <c r="H4" s="12" t="s">
        <v>43</v>
      </c>
    </row>
    <row r="5" spans="1:8" ht="81.95" customHeight="1" x14ac:dyDescent="0.25">
      <c r="A5" s="13" t="s">
        <v>44</v>
      </c>
      <c r="B5" s="13" t="s">
        <v>45</v>
      </c>
      <c r="C5" s="13" t="s">
        <v>46</v>
      </c>
      <c r="D5" s="13" t="s">
        <v>47</v>
      </c>
      <c r="E5" s="13" t="s">
        <v>48</v>
      </c>
      <c r="F5" s="13">
        <v>5</v>
      </c>
      <c r="G5" s="13" t="s">
        <v>49</v>
      </c>
      <c r="H5" s="13" t="s">
        <v>50</v>
      </c>
    </row>
    <row r="6" spans="1:8" ht="54.95" customHeight="1" x14ac:dyDescent="0.25">
      <c r="A6" s="15" t="s">
        <v>51</v>
      </c>
      <c r="B6" s="14" t="s">
        <v>52</v>
      </c>
      <c r="C6" s="19" t="s">
        <v>46</v>
      </c>
      <c r="D6" s="19" t="s">
        <v>47</v>
      </c>
      <c r="E6" s="14" t="s">
        <v>53</v>
      </c>
      <c r="F6" s="19">
        <v>5</v>
      </c>
      <c r="G6" s="14" t="s">
        <v>54</v>
      </c>
      <c r="H6" s="19" t="s">
        <v>55</v>
      </c>
    </row>
    <row r="7" spans="1:8" ht="54.95" customHeight="1" x14ac:dyDescent="0.25">
      <c r="A7" s="15" t="s">
        <v>56</v>
      </c>
      <c r="B7" s="14" t="s">
        <v>57</v>
      </c>
      <c r="C7" s="19" t="s">
        <v>46</v>
      </c>
      <c r="D7" s="19" t="s">
        <v>47</v>
      </c>
      <c r="E7" s="14" t="s">
        <v>58</v>
      </c>
      <c r="F7" s="19">
        <v>4</v>
      </c>
      <c r="G7" s="14" t="s">
        <v>54</v>
      </c>
      <c r="H7" s="19" t="s">
        <v>55</v>
      </c>
    </row>
    <row r="8" spans="1:8" ht="54.95" customHeight="1" x14ac:dyDescent="0.25">
      <c r="A8" s="15" t="s">
        <v>59</v>
      </c>
      <c r="B8" s="14" t="s">
        <v>60</v>
      </c>
      <c r="C8" s="19" t="s">
        <v>61</v>
      </c>
      <c r="D8" s="19" t="s">
        <v>27</v>
      </c>
      <c r="E8" s="14" t="s">
        <v>62</v>
      </c>
      <c r="F8" s="19">
        <v>4</v>
      </c>
      <c r="G8" s="14" t="s">
        <v>54</v>
      </c>
      <c r="H8" s="19" t="s">
        <v>55</v>
      </c>
    </row>
    <row r="9" spans="1:8" ht="54.95" customHeight="1" x14ac:dyDescent="0.25">
      <c r="A9" s="15" t="s">
        <v>63</v>
      </c>
      <c r="B9" s="14" t="s">
        <v>64</v>
      </c>
      <c r="C9" s="19" t="s">
        <v>46</v>
      </c>
      <c r="D9" s="19" t="s">
        <v>47</v>
      </c>
      <c r="E9" s="14" t="s">
        <v>65</v>
      </c>
      <c r="F9" s="19">
        <v>5</v>
      </c>
      <c r="G9" s="14" t="s">
        <v>54</v>
      </c>
      <c r="H9" s="19" t="s">
        <v>55</v>
      </c>
    </row>
    <row r="10" spans="1:8" ht="69.95" customHeight="1" x14ac:dyDescent="0.25">
      <c r="A10" s="15" t="s">
        <v>66</v>
      </c>
      <c r="B10" s="14" t="s">
        <v>67</v>
      </c>
      <c r="C10" s="19" t="s">
        <v>46</v>
      </c>
      <c r="D10" s="19" t="s">
        <v>47</v>
      </c>
      <c r="E10" s="14" t="s">
        <v>68</v>
      </c>
      <c r="F10" s="19">
        <v>5</v>
      </c>
      <c r="G10" s="14" t="s">
        <v>54</v>
      </c>
      <c r="H10" s="19" t="s">
        <v>55</v>
      </c>
    </row>
    <row r="11" spans="1:8" ht="69.95" customHeight="1" x14ac:dyDescent="0.25">
      <c r="A11" s="15" t="s">
        <v>69</v>
      </c>
      <c r="B11" s="14" t="s">
        <v>70</v>
      </c>
      <c r="C11" s="19" t="s">
        <v>46</v>
      </c>
      <c r="D11" s="19" t="s">
        <v>47</v>
      </c>
      <c r="E11" s="14" t="s">
        <v>65</v>
      </c>
      <c r="F11" s="19">
        <v>5</v>
      </c>
      <c r="G11" s="14" t="s">
        <v>54</v>
      </c>
      <c r="H11" s="19" t="s">
        <v>55</v>
      </c>
    </row>
    <row r="12" spans="1:8" ht="69.95" customHeight="1" x14ac:dyDescent="0.25">
      <c r="A12" s="15" t="s">
        <v>71</v>
      </c>
      <c r="B12" s="14" t="s">
        <v>72</v>
      </c>
      <c r="C12" s="19" t="s">
        <v>61</v>
      </c>
      <c r="D12" s="19" t="s">
        <v>15</v>
      </c>
      <c r="E12" s="14" t="s">
        <v>73</v>
      </c>
      <c r="F12" s="19">
        <v>4</v>
      </c>
      <c r="G12" s="14" t="s">
        <v>54</v>
      </c>
      <c r="H12" s="19" t="s">
        <v>55</v>
      </c>
    </row>
    <row r="13" spans="1:8" ht="54.95" customHeight="1" x14ac:dyDescent="0.25">
      <c r="A13" s="15" t="s">
        <v>74</v>
      </c>
      <c r="B13" s="14" t="s">
        <v>75</v>
      </c>
      <c r="C13" s="19" t="s">
        <v>61</v>
      </c>
      <c r="D13" s="19" t="s">
        <v>27</v>
      </c>
      <c r="E13" s="14" t="s">
        <v>76</v>
      </c>
      <c r="F13" s="19">
        <v>4</v>
      </c>
      <c r="G13" s="14" t="s">
        <v>54</v>
      </c>
      <c r="H13" s="19" t="s">
        <v>55</v>
      </c>
    </row>
    <row r="14" spans="1:8" ht="54.95" customHeight="1" x14ac:dyDescent="0.25">
      <c r="A14" s="15" t="s">
        <v>77</v>
      </c>
      <c r="B14" s="14" t="s">
        <v>78</v>
      </c>
      <c r="C14" s="19" t="s">
        <v>46</v>
      </c>
      <c r="D14" s="19" t="s">
        <v>47</v>
      </c>
      <c r="E14" s="14" t="s">
        <v>65</v>
      </c>
      <c r="F14" s="19">
        <v>5</v>
      </c>
      <c r="G14" s="14" t="s">
        <v>54</v>
      </c>
      <c r="H14" s="19" t="s">
        <v>55</v>
      </c>
    </row>
    <row r="15" spans="1:8" ht="54.95" customHeight="1" x14ac:dyDescent="0.25">
      <c r="A15" s="15" t="s">
        <v>79</v>
      </c>
      <c r="B15" s="14" t="s">
        <v>80</v>
      </c>
      <c r="C15" s="19" t="s">
        <v>46</v>
      </c>
      <c r="D15" s="19" t="s">
        <v>47</v>
      </c>
      <c r="E15" s="14" t="s">
        <v>65</v>
      </c>
      <c r="F15" s="19">
        <v>5</v>
      </c>
      <c r="G15" s="14" t="s">
        <v>54</v>
      </c>
      <c r="H15" s="19" t="s">
        <v>55</v>
      </c>
    </row>
    <row r="16" spans="1:8" ht="54.95" customHeight="1" x14ac:dyDescent="0.25">
      <c r="A16" s="15" t="s">
        <v>81</v>
      </c>
      <c r="B16" s="14" t="s">
        <v>82</v>
      </c>
      <c r="C16" s="19" t="s">
        <v>61</v>
      </c>
      <c r="D16" s="19" t="s">
        <v>18</v>
      </c>
      <c r="E16" s="14" t="s">
        <v>83</v>
      </c>
      <c r="F16" s="19">
        <v>4</v>
      </c>
      <c r="G16" s="14" t="s">
        <v>54</v>
      </c>
      <c r="H16" s="19" t="s">
        <v>55</v>
      </c>
    </row>
    <row r="17" spans="1:8" ht="69.95" customHeight="1" x14ac:dyDescent="0.25">
      <c r="A17" s="15" t="s">
        <v>84</v>
      </c>
      <c r="B17" s="14" t="s">
        <v>85</v>
      </c>
      <c r="C17" s="19" t="s">
        <v>46</v>
      </c>
      <c r="D17" s="19" t="s">
        <v>47</v>
      </c>
      <c r="E17" s="14" t="s">
        <v>65</v>
      </c>
      <c r="F17" s="19">
        <v>5</v>
      </c>
      <c r="G17" s="14" t="s">
        <v>54</v>
      </c>
      <c r="H17" s="19" t="s">
        <v>55</v>
      </c>
    </row>
    <row r="18" spans="1:8" ht="69.95" customHeight="1" x14ac:dyDescent="0.25">
      <c r="A18" s="15" t="s">
        <v>86</v>
      </c>
      <c r="B18" s="14" t="s">
        <v>87</v>
      </c>
      <c r="C18" s="19" t="s">
        <v>46</v>
      </c>
      <c r="D18" s="19" t="s">
        <v>47</v>
      </c>
      <c r="E18" s="14" t="s">
        <v>65</v>
      </c>
      <c r="F18" s="19">
        <v>5</v>
      </c>
      <c r="G18" s="14" t="s">
        <v>54</v>
      </c>
      <c r="H18" s="19" t="s">
        <v>55</v>
      </c>
    </row>
    <row r="19" spans="1:8" ht="54.95" customHeight="1" x14ac:dyDescent="0.25">
      <c r="A19" s="15" t="s">
        <v>88</v>
      </c>
      <c r="B19" s="14" t="s">
        <v>89</v>
      </c>
      <c r="C19" s="19" t="s">
        <v>46</v>
      </c>
      <c r="D19" s="19" t="s">
        <v>47</v>
      </c>
      <c r="E19" s="14" t="s">
        <v>90</v>
      </c>
      <c r="F19" s="19">
        <v>5</v>
      </c>
      <c r="G19" s="14" t="s">
        <v>54</v>
      </c>
      <c r="H19" s="19" t="s">
        <v>55</v>
      </c>
    </row>
    <row r="20" spans="1:8" ht="54.95" customHeight="1" x14ac:dyDescent="0.25">
      <c r="A20" s="15" t="s">
        <v>91</v>
      </c>
      <c r="B20" s="14" t="s">
        <v>92</v>
      </c>
      <c r="C20" s="19" t="s">
        <v>46</v>
      </c>
      <c r="D20" s="19" t="s">
        <v>47</v>
      </c>
      <c r="E20" s="14" t="s">
        <v>90</v>
      </c>
      <c r="F20" s="19">
        <v>5</v>
      </c>
      <c r="G20" s="14" t="s">
        <v>54</v>
      </c>
      <c r="H20" s="19" t="s">
        <v>55</v>
      </c>
    </row>
    <row r="21" spans="1:8" ht="54.95" customHeight="1" x14ac:dyDescent="0.25">
      <c r="A21" s="15" t="s">
        <v>93</v>
      </c>
      <c r="B21" s="14" t="s">
        <v>94</v>
      </c>
      <c r="C21" s="19" t="s">
        <v>46</v>
      </c>
      <c r="D21" s="19" t="s">
        <v>47</v>
      </c>
      <c r="E21" s="14" t="s">
        <v>90</v>
      </c>
      <c r="F21" s="19">
        <v>5</v>
      </c>
      <c r="G21" s="14" t="s">
        <v>54</v>
      </c>
      <c r="H21" s="19" t="s">
        <v>55</v>
      </c>
    </row>
    <row r="22" spans="1:8" ht="54.95" customHeight="1" x14ac:dyDescent="0.25">
      <c r="A22" s="15" t="s">
        <v>95</v>
      </c>
      <c r="B22" s="14" t="s">
        <v>96</v>
      </c>
      <c r="C22" s="19" t="s">
        <v>61</v>
      </c>
      <c r="D22" s="19" t="s">
        <v>15</v>
      </c>
      <c r="E22" s="14" t="s">
        <v>97</v>
      </c>
      <c r="F22" s="19">
        <v>4</v>
      </c>
      <c r="G22" s="14" t="s">
        <v>54</v>
      </c>
      <c r="H22" s="19" t="s">
        <v>55</v>
      </c>
    </row>
    <row r="23" spans="1:8" ht="69.95" customHeight="1" x14ac:dyDescent="0.25">
      <c r="A23" s="15" t="s">
        <v>98</v>
      </c>
      <c r="B23" s="14" t="s">
        <v>99</v>
      </c>
      <c r="C23" s="19" t="s">
        <v>61</v>
      </c>
      <c r="D23" s="19" t="s">
        <v>27</v>
      </c>
      <c r="E23" s="14" t="s">
        <v>100</v>
      </c>
      <c r="F23" s="19">
        <v>4</v>
      </c>
      <c r="G23" s="14" t="s">
        <v>54</v>
      </c>
      <c r="H23" s="19" t="s">
        <v>55</v>
      </c>
    </row>
    <row r="24" spans="1:8" ht="54.95" customHeight="1" x14ac:dyDescent="0.25">
      <c r="A24" s="15" t="s">
        <v>101</v>
      </c>
      <c r="B24" s="14" t="s">
        <v>102</v>
      </c>
      <c r="C24" s="19" t="s">
        <v>46</v>
      </c>
      <c r="D24" s="19" t="s">
        <v>47</v>
      </c>
      <c r="E24" s="14" t="s">
        <v>103</v>
      </c>
      <c r="F24" s="19">
        <v>5</v>
      </c>
      <c r="G24" s="14" t="s">
        <v>54</v>
      </c>
      <c r="H24" s="19" t="s">
        <v>55</v>
      </c>
    </row>
    <row r="25" spans="1:8" ht="69.95" customHeight="1" x14ac:dyDescent="0.25">
      <c r="A25" s="15" t="s">
        <v>104</v>
      </c>
      <c r="B25" s="14" t="s">
        <v>105</v>
      </c>
      <c r="C25" s="19" t="s">
        <v>61</v>
      </c>
      <c r="D25" s="19" t="s">
        <v>18</v>
      </c>
      <c r="E25" s="14" t="s">
        <v>106</v>
      </c>
      <c r="F25" s="19">
        <v>3</v>
      </c>
      <c r="G25" s="14" t="s">
        <v>54</v>
      </c>
      <c r="H25" s="19" t="s">
        <v>55</v>
      </c>
    </row>
    <row r="26" spans="1:8" ht="54.95" customHeight="1" x14ac:dyDescent="0.25">
      <c r="A26" s="15" t="s">
        <v>107</v>
      </c>
      <c r="B26" s="14" t="s">
        <v>108</v>
      </c>
      <c r="C26" s="19" t="s">
        <v>61</v>
      </c>
      <c r="D26" s="19" t="s">
        <v>15</v>
      </c>
      <c r="E26" s="14" t="s">
        <v>109</v>
      </c>
      <c r="F26" s="19">
        <v>4</v>
      </c>
      <c r="G26" s="14" t="s">
        <v>54</v>
      </c>
      <c r="H26" s="19" t="s">
        <v>55</v>
      </c>
    </row>
    <row r="27" spans="1:8" ht="54.95" customHeight="1" x14ac:dyDescent="0.25">
      <c r="A27" s="15" t="s">
        <v>110</v>
      </c>
      <c r="B27" s="14" t="s">
        <v>111</v>
      </c>
      <c r="C27" s="19" t="s">
        <v>61</v>
      </c>
      <c r="D27" s="19" t="s">
        <v>24</v>
      </c>
      <c r="E27" s="14" t="s">
        <v>112</v>
      </c>
      <c r="F27" s="19">
        <v>3</v>
      </c>
      <c r="G27" s="14" t="s">
        <v>54</v>
      </c>
      <c r="H27" s="19" t="s">
        <v>55</v>
      </c>
    </row>
    <row r="28" spans="1:8" ht="54.95" customHeight="1" x14ac:dyDescent="0.25">
      <c r="A28" s="15" t="s">
        <v>113</v>
      </c>
      <c r="B28" s="14" t="s">
        <v>114</v>
      </c>
      <c r="C28" s="19" t="s">
        <v>61</v>
      </c>
      <c r="D28" s="19" t="s">
        <v>18</v>
      </c>
      <c r="E28" s="14" t="s">
        <v>115</v>
      </c>
      <c r="F28" s="19">
        <v>4</v>
      </c>
      <c r="G28" s="14" t="s">
        <v>54</v>
      </c>
      <c r="H28" s="19" t="s">
        <v>55</v>
      </c>
    </row>
    <row r="29" spans="1:8" ht="69.95" customHeight="1" x14ac:dyDescent="0.25">
      <c r="A29" s="15" t="s">
        <v>116</v>
      </c>
      <c r="B29" s="14" t="s">
        <v>117</v>
      </c>
      <c r="C29" s="19" t="s">
        <v>46</v>
      </c>
      <c r="D29" s="19" t="s">
        <v>47</v>
      </c>
      <c r="E29" s="14" t="s">
        <v>118</v>
      </c>
      <c r="F29" s="19">
        <v>4</v>
      </c>
      <c r="G29" s="14" t="s">
        <v>54</v>
      </c>
      <c r="H29" s="19" t="s">
        <v>55</v>
      </c>
    </row>
    <row r="30" spans="1:8" ht="69.95" customHeight="1" x14ac:dyDescent="0.25">
      <c r="A30" s="15" t="s">
        <v>119</v>
      </c>
      <c r="B30" s="14" t="s">
        <v>120</v>
      </c>
      <c r="C30" s="19" t="s">
        <v>46</v>
      </c>
      <c r="D30" s="19" t="s">
        <v>47</v>
      </c>
      <c r="E30" s="14" t="s">
        <v>65</v>
      </c>
      <c r="F30" s="19">
        <v>5</v>
      </c>
      <c r="G30" s="14" t="s">
        <v>54</v>
      </c>
      <c r="H30" s="19" t="s">
        <v>55</v>
      </c>
    </row>
    <row r="31" spans="1:8" ht="54.95" customHeight="1" x14ac:dyDescent="0.25">
      <c r="A31" s="15" t="s">
        <v>121</v>
      </c>
      <c r="B31" s="14" t="s">
        <v>122</v>
      </c>
      <c r="C31" s="19" t="s">
        <v>61</v>
      </c>
      <c r="D31" s="19" t="s">
        <v>24</v>
      </c>
      <c r="E31" s="14" t="s">
        <v>123</v>
      </c>
      <c r="F31" s="19">
        <v>4</v>
      </c>
      <c r="G31" s="14" t="s">
        <v>54</v>
      </c>
      <c r="H31" s="19" t="s">
        <v>55</v>
      </c>
    </row>
    <row r="32" spans="1:8" ht="54.95" customHeight="1" x14ac:dyDescent="0.25">
      <c r="A32" s="15" t="s">
        <v>124</v>
      </c>
      <c r="B32" s="14" t="s">
        <v>125</v>
      </c>
      <c r="C32" s="19" t="s">
        <v>46</v>
      </c>
      <c r="D32" s="19" t="s">
        <v>47</v>
      </c>
      <c r="E32" s="14" t="s">
        <v>90</v>
      </c>
      <c r="F32" s="19">
        <v>5</v>
      </c>
      <c r="G32" s="14" t="s">
        <v>54</v>
      </c>
      <c r="H32" s="19" t="s">
        <v>55</v>
      </c>
    </row>
    <row r="33" spans="1:8" ht="54.95" customHeight="1" x14ac:dyDescent="0.25">
      <c r="A33" s="15" t="s">
        <v>126</v>
      </c>
      <c r="B33" s="14" t="s">
        <v>127</v>
      </c>
      <c r="C33" s="19" t="s">
        <v>46</v>
      </c>
      <c r="D33" s="19" t="s">
        <v>47</v>
      </c>
      <c r="E33" s="14" t="s">
        <v>103</v>
      </c>
      <c r="F33" s="19">
        <v>5</v>
      </c>
      <c r="G33" s="14" t="s">
        <v>54</v>
      </c>
      <c r="H33" s="19" t="s">
        <v>55</v>
      </c>
    </row>
    <row r="34" spans="1:8" ht="54.95" customHeight="1" x14ac:dyDescent="0.25">
      <c r="A34" s="15" t="s">
        <v>128</v>
      </c>
      <c r="B34" s="14" t="s">
        <v>129</v>
      </c>
      <c r="C34" s="19" t="s">
        <v>46</v>
      </c>
      <c r="D34" s="19" t="s">
        <v>47</v>
      </c>
      <c r="E34" s="14" t="s">
        <v>90</v>
      </c>
      <c r="F34" s="19">
        <v>5</v>
      </c>
      <c r="G34" s="14" t="s">
        <v>54</v>
      </c>
      <c r="H34" s="19" t="s">
        <v>55</v>
      </c>
    </row>
    <row r="35" spans="1:8" ht="54.95" customHeight="1" x14ac:dyDescent="0.25">
      <c r="A35" s="15" t="s">
        <v>130</v>
      </c>
      <c r="B35" s="14" t="s">
        <v>131</v>
      </c>
      <c r="C35" s="19" t="s">
        <v>46</v>
      </c>
      <c r="D35" s="19" t="s">
        <v>47</v>
      </c>
      <c r="E35" s="14" t="s">
        <v>65</v>
      </c>
      <c r="F35" s="19">
        <v>5</v>
      </c>
      <c r="G35" s="14" t="s">
        <v>54</v>
      </c>
      <c r="H35" s="19" t="s">
        <v>55</v>
      </c>
    </row>
    <row r="36" spans="1:8" ht="48" customHeight="1" x14ac:dyDescent="0.25">
      <c r="A36" s="15" t="s">
        <v>132</v>
      </c>
      <c r="B36" s="14" t="s">
        <v>133</v>
      </c>
      <c r="C36" s="19" t="s">
        <v>46</v>
      </c>
      <c r="D36" s="19" t="s">
        <v>47</v>
      </c>
      <c r="E36" s="14" t="s">
        <v>68</v>
      </c>
      <c r="F36" s="19">
        <v>5</v>
      </c>
      <c r="G36" s="14" t="s">
        <v>54</v>
      </c>
      <c r="H36" s="19" t="s">
        <v>55</v>
      </c>
    </row>
    <row r="37" spans="1:8" ht="54.95" customHeight="1" x14ac:dyDescent="0.25">
      <c r="A37" s="15" t="s">
        <v>134</v>
      </c>
      <c r="B37" s="14" t="s">
        <v>45</v>
      </c>
      <c r="C37" s="19" t="s">
        <v>46</v>
      </c>
      <c r="D37" s="19" t="s">
        <v>47</v>
      </c>
      <c r="E37" s="14" t="s">
        <v>90</v>
      </c>
      <c r="F37" s="19">
        <v>5</v>
      </c>
      <c r="G37" s="14" t="s">
        <v>54</v>
      </c>
      <c r="H37" s="19" t="s">
        <v>55</v>
      </c>
    </row>
    <row r="38" spans="1:8" ht="54.95" customHeight="1" x14ac:dyDescent="0.25">
      <c r="A38" s="15" t="s">
        <v>135</v>
      </c>
      <c r="B38" s="14" t="s">
        <v>136</v>
      </c>
      <c r="C38" s="19" t="s">
        <v>61</v>
      </c>
      <c r="D38" s="19" t="s">
        <v>24</v>
      </c>
      <c r="E38" s="14" t="s">
        <v>137</v>
      </c>
      <c r="F38" s="19">
        <v>4</v>
      </c>
      <c r="G38" s="14" t="s">
        <v>54</v>
      </c>
      <c r="H38" s="19" t="s">
        <v>55</v>
      </c>
    </row>
    <row r="39" spans="1:8" ht="54.95" customHeight="1" x14ac:dyDescent="0.25">
      <c r="A39" s="15" t="s">
        <v>138</v>
      </c>
      <c r="B39" s="14" t="s">
        <v>139</v>
      </c>
      <c r="C39" s="19" t="s">
        <v>61</v>
      </c>
      <c r="D39" s="19" t="s">
        <v>15</v>
      </c>
      <c r="E39" s="14" t="s">
        <v>140</v>
      </c>
      <c r="F39" s="19">
        <v>4</v>
      </c>
      <c r="G39" s="14" t="s">
        <v>54</v>
      </c>
      <c r="H39" s="19" t="s">
        <v>55</v>
      </c>
    </row>
    <row r="40" spans="1:8" ht="54.95" customHeight="1" x14ac:dyDescent="0.25">
      <c r="A40" s="15" t="s">
        <v>141</v>
      </c>
      <c r="B40" s="14" t="s">
        <v>142</v>
      </c>
      <c r="C40" s="19" t="s">
        <v>46</v>
      </c>
      <c r="D40" s="19" t="s">
        <v>47</v>
      </c>
      <c r="E40" s="14" t="s">
        <v>143</v>
      </c>
      <c r="F40" s="19">
        <v>4</v>
      </c>
      <c r="G40" s="14" t="s">
        <v>54</v>
      </c>
      <c r="H40" s="19" t="s">
        <v>55</v>
      </c>
    </row>
    <row r="41" spans="1:8" ht="54.95" customHeight="1" x14ac:dyDescent="0.25">
      <c r="A41" s="15" t="s">
        <v>144</v>
      </c>
      <c r="B41" s="14" t="s">
        <v>145</v>
      </c>
      <c r="C41" s="19" t="s">
        <v>46</v>
      </c>
      <c r="D41" s="19" t="s">
        <v>47</v>
      </c>
      <c r="E41" s="14" t="s">
        <v>90</v>
      </c>
      <c r="F41" s="19">
        <v>5</v>
      </c>
      <c r="G41" s="14" t="s">
        <v>54</v>
      </c>
      <c r="H41" s="19" t="s">
        <v>55</v>
      </c>
    </row>
    <row r="42" spans="1:8" ht="69.95" customHeight="1" x14ac:dyDescent="0.25">
      <c r="A42" s="15" t="s">
        <v>146</v>
      </c>
      <c r="B42" s="14" t="s">
        <v>147</v>
      </c>
      <c r="C42" s="19" t="s">
        <v>46</v>
      </c>
      <c r="D42" s="19" t="s">
        <v>47</v>
      </c>
      <c r="E42" s="14" t="s">
        <v>148</v>
      </c>
      <c r="F42" s="19">
        <v>4</v>
      </c>
      <c r="G42" s="14" t="s">
        <v>54</v>
      </c>
      <c r="H42" s="19" t="s">
        <v>55</v>
      </c>
    </row>
    <row r="43" spans="1:8" ht="69.95" customHeight="1" x14ac:dyDescent="0.25">
      <c r="A43" s="15" t="s">
        <v>149</v>
      </c>
      <c r="B43" s="14" t="s">
        <v>150</v>
      </c>
      <c r="C43" s="19" t="s">
        <v>46</v>
      </c>
      <c r="D43" s="19" t="s">
        <v>47</v>
      </c>
      <c r="E43" s="14" t="s">
        <v>90</v>
      </c>
      <c r="F43" s="19">
        <v>5</v>
      </c>
      <c r="G43" s="14" t="s">
        <v>54</v>
      </c>
      <c r="H43" s="19" t="s">
        <v>55</v>
      </c>
    </row>
    <row r="44" spans="1:8" ht="54.95" customHeight="1" x14ac:dyDescent="0.25">
      <c r="A44" s="15" t="s">
        <v>151</v>
      </c>
      <c r="B44" s="14" t="s">
        <v>152</v>
      </c>
      <c r="C44" s="19" t="s">
        <v>61</v>
      </c>
      <c r="D44" s="19" t="s">
        <v>24</v>
      </c>
      <c r="E44" s="14" t="s">
        <v>153</v>
      </c>
      <c r="F44" s="19">
        <v>4</v>
      </c>
      <c r="G44" s="14" t="s">
        <v>54</v>
      </c>
      <c r="H44" s="19" t="s">
        <v>55</v>
      </c>
    </row>
    <row r="45" spans="1:8" ht="54.95" customHeight="1" x14ac:dyDescent="0.25">
      <c r="A45" s="15" t="s">
        <v>154</v>
      </c>
      <c r="B45" s="14" t="s">
        <v>155</v>
      </c>
      <c r="C45" s="19" t="s">
        <v>61</v>
      </c>
      <c r="D45" s="19" t="s">
        <v>15</v>
      </c>
      <c r="E45" s="14" t="s">
        <v>156</v>
      </c>
      <c r="F45" s="19">
        <v>4</v>
      </c>
      <c r="G45" s="14" t="s">
        <v>54</v>
      </c>
      <c r="H45" s="19" t="s">
        <v>55</v>
      </c>
    </row>
    <row r="46" spans="1:8" ht="54.95" customHeight="1" x14ac:dyDescent="0.25">
      <c r="A46" s="15" t="s">
        <v>157</v>
      </c>
      <c r="B46" s="14" t="s">
        <v>158</v>
      </c>
      <c r="C46" s="19" t="s">
        <v>46</v>
      </c>
      <c r="D46" s="19" t="s">
        <v>47</v>
      </c>
      <c r="E46" s="14" t="s">
        <v>90</v>
      </c>
      <c r="F46" s="19">
        <v>5</v>
      </c>
      <c r="G46" s="14" t="s">
        <v>54</v>
      </c>
      <c r="H46" s="19" t="s">
        <v>55</v>
      </c>
    </row>
    <row r="47" spans="1:8" ht="54.95" customHeight="1" x14ac:dyDescent="0.25">
      <c r="A47" s="15" t="s">
        <v>159</v>
      </c>
      <c r="B47" s="14" t="s">
        <v>160</v>
      </c>
      <c r="C47" s="19" t="s">
        <v>61</v>
      </c>
      <c r="D47" s="19" t="s">
        <v>18</v>
      </c>
      <c r="E47" s="14" t="s">
        <v>161</v>
      </c>
      <c r="F47" s="19">
        <v>4</v>
      </c>
      <c r="G47" s="14" t="s">
        <v>54</v>
      </c>
      <c r="H47" s="19" t="s">
        <v>55</v>
      </c>
    </row>
    <row r="48" spans="1:8" ht="54.95" customHeight="1" x14ac:dyDescent="0.25">
      <c r="A48" s="15" t="s">
        <v>162</v>
      </c>
      <c r="B48" s="14" t="s">
        <v>163</v>
      </c>
      <c r="C48" s="19" t="s">
        <v>61</v>
      </c>
      <c r="D48" s="19" t="s">
        <v>15</v>
      </c>
      <c r="E48" s="14" t="s">
        <v>164</v>
      </c>
      <c r="F48" s="19">
        <v>4</v>
      </c>
      <c r="G48" s="14" t="s">
        <v>54</v>
      </c>
      <c r="H48" s="19" t="s">
        <v>55</v>
      </c>
    </row>
    <row r="49" spans="1:8" ht="54.95" customHeight="1" x14ac:dyDescent="0.25">
      <c r="A49" s="15" t="s">
        <v>165</v>
      </c>
      <c r="B49" s="14" t="s">
        <v>166</v>
      </c>
      <c r="C49" s="19" t="s">
        <v>46</v>
      </c>
      <c r="D49" s="19" t="s">
        <v>47</v>
      </c>
      <c r="E49" s="14" t="s">
        <v>68</v>
      </c>
      <c r="F49" s="19">
        <v>5</v>
      </c>
      <c r="G49" s="14" t="s">
        <v>54</v>
      </c>
      <c r="H49" s="19" t="s">
        <v>55</v>
      </c>
    </row>
    <row r="50" spans="1:8" ht="54.95" customHeight="1" x14ac:dyDescent="0.25">
      <c r="A50" s="15" t="s">
        <v>167</v>
      </c>
      <c r="B50" s="14" t="s">
        <v>168</v>
      </c>
      <c r="C50" s="19" t="s">
        <v>46</v>
      </c>
      <c r="D50" s="19" t="s">
        <v>47</v>
      </c>
      <c r="E50" s="14" t="s">
        <v>103</v>
      </c>
      <c r="F50" s="19">
        <v>5</v>
      </c>
      <c r="G50" s="14" t="s">
        <v>54</v>
      </c>
      <c r="H50" s="19" t="s">
        <v>55</v>
      </c>
    </row>
    <row r="51" spans="1:8" ht="54.95" customHeight="1" x14ac:dyDescent="0.25">
      <c r="A51" s="15" t="s">
        <v>169</v>
      </c>
      <c r="B51" s="14" t="s">
        <v>170</v>
      </c>
      <c r="C51" s="19" t="s">
        <v>61</v>
      </c>
      <c r="D51" s="19" t="s">
        <v>15</v>
      </c>
      <c r="E51" s="14" t="s">
        <v>171</v>
      </c>
      <c r="F51" s="19">
        <v>4</v>
      </c>
      <c r="G51" s="14" t="s">
        <v>54</v>
      </c>
      <c r="H51" s="19" t="s">
        <v>55</v>
      </c>
    </row>
    <row r="52" spans="1:8" ht="54.95" customHeight="1" x14ac:dyDescent="0.25">
      <c r="A52" s="15" t="s">
        <v>172</v>
      </c>
      <c r="B52" s="14" t="s">
        <v>173</v>
      </c>
      <c r="C52" s="19" t="s">
        <v>46</v>
      </c>
      <c r="D52" s="19" t="s">
        <v>47</v>
      </c>
      <c r="E52" s="14" t="s">
        <v>65</v>
      </c>
      <c r="F52" s="19">
        <v>5</v>
      </c>
      <c r="G52" s="14" t="s">
        <v>54</v>
      </c>
      <c r="H52" s="19" t="s">
        <v>55</v>
      </c>
    </row>
    <row r="53" spans="1:8" ht="48" customHeight="1" x14ac:dyDescent="0.25">
      <c r="A53" s="15" t="s">
        <v>174</v>
      </c>
      <c r="B53" s="14" t="s">
        <v>175</v>
      </c>
      <c r="C53" s="19" t="s">
        <v>61</v>
      </c>
      <c r="D53" s="19" t="s">
        <v>27</v>
      </c>
      <c r="E53" s="14" t="s">
        <v>176</v>
      </c>
      <c r="F53" s="19">
        <v>4</v>
      </c>
      <c r="G53" s="14" t="s">
        <v>54</v>
      </c>
      <c r="H53" s="19" t="s">
        <v>55</v>
      </c>
    </row>
    <row r="54" spans="1:8" ht="69.95" customHeight="1" x14ac:dyDescent="0.25">
      <c r="A54" s="15" t="s">
        <v>177</v>
      </c>
      <c r="B54" s="14" t="s">
        <v>178</v>
      </c>
      <c r="C54" s="19" t="s">
        <v>46</v>
      </c>
      <c r="D54" s="19" t="s">
        <v>47</v>
      </c>
      <c r="E54" s="14" t="s">
        <v>65</v>
      </c>
      <c r="F54" s="19">
        <v>5</v>
      </c>
      <c r="G54" s="14" t="s">
        <v>54</v>
      </c>
      <c r="H54" s="19" t="s">
        <v>55</v>
      </c>
    </row>
    <row r="55" spans="1:8" ht="54.95" customHeight="1" x14ac:dyDescent="0.25">
      <c r="A55" s="15" t="s">
        <v>179</v>
      </c>
      <c r="B55" s="14" t="s">
        <v>180</v>
      </c>
      <c r="C55" s="19" t="s">
        <v>61</v>
      </c>
      <c r="D55" s="19" t="s">
        <v>15</v>
      </c>
      <c r="E55" s="14" t="s">
        <v>181</v>
      </c>
      <c r="F55" s="19">
        <v>4</v>
      </c>
      <c r="G55" s="14" t="s">
        <v>54</v>
      </c>
      <c r="H55" s="19" t="s">
        <v>55</v>
      </c>
    </row>
    <row r="56" spans="1:8" ht="69.95" customHeight="1" x14ac:dyDescent="0.25">
      <c r="A56" s="15" t="s">
        <v>182</v>
      </c>
      <c r="B56" s="14" t="s">
        <v>183</v>
      </c>
      <c r="C56" s="19" t="s">
        <v>46</v>
      </c>
      <c r="D56" s="19" t="s">
        <v>47</v>
      </c>
      <c r="E56" s="14" t="s">
        <v>65</v>
      </c>
      <c r="F56" s="19">
        <v>5</v>
      </c>
      <c r="G56" s="14" t="s">
        <v>54</v>
      </c>
      <c r="H56" s="19" t="s">
        <v>55</v>
      </c>
    </row>
    <row r="57" spans="1:8" ht="54.95" customHeight="1" x14ac:dyDescent="0.25">
      <c r="A57" s="15" t="s">
        <v>184</v>
      </c>
      <c r="B57" s="14" t="s">
        <v>185</v>
      </c>
      <c r="C57" s="19" t="s">
        <v>61</v>
      </c>
      <c r="D57" s="19" t="s">
        <v>27</v>
      </c>
      <c r="E57" s="14" t="s">
        <v>186</v>
      </c>
      <c r="F57" s="19">
        <v>4</v>
      </c>
      <c r="G57" s="14" t="s">
        <v>54</v>
      </c>
      <c r="H57" s="19" t="s">
        <v>55</v>
      </c>
    </row>
    <row r="58" spans="1:8" ht="84.95" customHeight="1" x14ac:dyDescent="0.25">
      <c r="A58" s="15" t="s">
        <v>187</v>
      </c>
      <c r="B58" s="14" t="s">
        <v>188</v>
      </c>
      <c r="C58" s="19" t="s">
        <v>46</v>
      </c>
      <c r="D58" s="19" t="s">
        <v>47</v>
      </c>
      <c r="E58" s="14" t="s">
        <v>65</v>
      </c>
      <c r="F58" s="19">
        <v>5</v>
      </c>
      <c r="G58" s="14" t="s">
        <v>54</v>
      </c>
      <c r="H58" s="19" t="s">
        <v>55</v>
      </c>
    </row>
    <row r="59" spans="1:8" ht="69.95" customHeight="1" x14ac:dyDescent="0.25">
      <c r="A59" s="15" t="s">
        <v>189</v>
      </c>
      <c r="B59" s="14" t="s">
        <v>190</v>
      </c>
      <c r="C59" s="19" t="s">
        <v>61</v>
      </c>
      <c r="D59" s="19" t="s">
        <v>24</v>
      </c>
      <c r="E59" s="14" t="s">
        <v>191</v>
      </c>
      <c r="F59" s="19">
        <v>4</v>
      </c>
      <c r="G59" s="14" t="s">
        <v>54</v>
      </c>
      <c r="H59" s="19" t="s">
        <v>55</v>
      </c>
    </row>
    <row r="60" spans="1:8" ht="54.95" customHeight="1" x14ac:dyDescent="0.25">
      <c r="A60" s="15" t="s">
        <v>192</v>
      </c>
      <c r="B60" s="14" t="s">
        <v>193</v>
      </c>
      <c r="C60" s="19" t="s">
        <v>46</v>
      </c>
      <c r="D60" s="19" t="s">
        <v>47</v>
      </c>
      <c r="E60" s="14" t="s">
        <v>90</v>
      </c>
      <c r="F60" s="19">
        <v>5</v>
      </c>
      <c r="G60" s="14" t="s">
        <v>54</v>
      </c>
      <c r="H60" s="19" t="s">
        <v>55</v>
      </c>
    </row>
    <row r="62" spans="1:8" ht="24" customHeight="1" x14ac:dyDescent="0.25">
      <c r="A62" s="50" t="s">
        <v>194</v>
      </c>
      <c r="B62" s="50"/>
      <c r="C62" s="50"/>
      <c r="D62" s="50"/>
      <c r="E62" s="50"/>
      <c r="F62" s="50"/>
      <c r="G62" s="50"/>
      <c r="H62" s="50"/>
    </row>
    <row r="64" spans="1:8" ht="24" customHeight="1" x14ac:dyDescent="0.25">
      <c r="A64" s="51" t="s">
        <v>195</v>
      </c>
      <c r="B64" s="52"/>
      <c r="C64" s="52"/>
      <c r="D64" s="52"/>
      <c r="E64" s="52"/>
      <c r="F64" s="52"/>
      <c r="G64" s="52"/>
      <c r="H64" s="53"/>
    </row>
    <row r="65" spans="1:8" ht="27.95" customHeight="1" x14ac:dyDescent="0.25">
      <c r="A65" s="17" t="s">
        <v>196</v>
      </c>
      <c r="B65" s="16">
        <v>55</v>
      </c>
      <c r="C65" s="16" t="s">
        <v>197</v>
      </c>
      <c r="D65" s="16">
        <f>COUNTIF(C6:C60,"Ambiguo")</f>
        <v>22</v>
      </c>
      <c r="E65" s="16" t="s">
        <v>198</v>
      </c>
      <c r="F65" s="16">
        <f>COUNTIF(C6:C60,"No ambiguo")</f>
        <v>33</v>
      </c>
      <c r="G65" s="16" t="s">
        <v>199</v>
      </c>
      <c r="H65" s="18">
        <f>AVERAGE(F6:F60)</f>
        <v>4.4909090909090912</v>
      </c>
    </row>
    <row r="67" spans="1:8" ht="42" customHeight="1" x14ac:dyDescent="0.25">
      <c r="A67" s="54" t="s">
        <v>200</v>
      </c>
      <c r="B67" s="55"/>
      <c r="C67" s="55"/>
      <c r="D67" s="55"/>
      <c r="E67" s="55"/>
      <c r="F67" s="55"/>
      <c r="G67" s="55"/>
      <c r="H67" s="56"/>
    </row>
  </sheetData>
  <mergeCells count="5">
    <mergeCell ref="A1:H1"/>
    <mergeCell ref="A2:H2"/>
    <mergeCell ref="A62:H62"/>
    <mergeCell ref="A64:H64"/>
    <mergeCell ref="A67:H67"/>
  </mergeCells>
  <conditionalFormatting sqref="C6:C60">
    <cfRule type="expression" dxfId="9" priority="1">
      <formula>C6="Ambiguo"</formula>
    </cfRule>
    <cfRule type="expression" dxfId="8" priority="2">
      <formula>C6="No ambiguo"</formula>
    </cfRule>
  </conditionalFormatting>
  <dataValidations count="3">
    <dataValidation type="list" allowBlank="1" errorTitle="Valor no válido" error="Seleccione Ambiguo o No ambiguo de la lista." sqref="C6:C60" xr:uid="{00000000-0002-0000-0200-000000000000}">
      <formula1>"Ambiguo,No ambiguo"</formula1>
    </dataValidation>
    <dataValidation type="list" allowBlank="1" sqref="D6:D60" xr:uid="{00000000-0002-0000-0200-000001000000}">
      <formula1>"Ninguno,Cuantificador vago,Conjunción múltiple,Voz pasiva / sujeto ausente,Terminología imprecisa,Requisito no verificable / incompleto,Otro"</formula1>
    </dataValidation>
    <dataValidation type="whole" allowBlank="1" error="Ingrese un valor entero entre 1 y 5." sqref="F6:F60" xr:uid="{00000000-0002-0000-0200-000002000000}">
      <formula1>1</formula1>
      <formula2>5</formula2>
    </dataValidation>
  </dataValidations>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67"/>
  <sheetViews>
    <sheetView zoomScale="55" zoomScaleNormal="55" workbookViewId="0">
      <selection activeCell="B5" sqref="B5"/>
    </sheetView>
  </sheetViews>
  <sheetFormatPr baseColWidth="10" defaultColWidth="9.140625" defaultRowHeight="15" x14ac:dyDescent="0.25"/>
  <cols>
    <col min="1" max="1" width="14" customWidth="1"/>
    <col min="2" max="2" width="64" customWidth="1"/>
    <col min="3" max="3" width="16" customWidth="1"/>
    <col min="4" max="4" width="29" customWidth="1"/>
    <col min="5" max="5" width="52" customWidth="1"/>
    <col min="6" max="6" width="13" customWidth="1"/>
    <col min="7" max="7" width="34" customWidth="1"/>
    <col min="8" max="8" width="14" customWidth="1"/>
  </cols>
  <sheetData>
    <row r="1" spans="1:8" ht="26.1" customHeight="1" x14ac:dyDescent="0.25">
      <c r="A1" s="48" t="s">
        <v>34</v>
      </c>
      <c r="B1" s="48"/>
      <c r="C1" s="48"/>
      <c r="D1" s="48"/>
      <c r="E1" s="48"/>
      <c r="F1" s="48"/>
      <c r="G1" s="48"/>
      <c r="H1" s="48"/>
    </row>
    <row r="2" spans="1:8" ht="21.95" customHeight="1" x14ac:dyDescent="0.25">
      <c r="A2" s="49" t="s">
        <v>279</v>
      </c>
      <c r="B2" s="49"/>
      <c r="C2" s="49"/>
      <c r="D2" s="49"/>
      <c r="E2" s="49"/>
      <c r="F2" s="49"/>
      <c r="G2" s="49"/>
      <c r="H2" s="49"/>
    </row>
    <row r="4" spans="1:8" ht="33.950000000000003" customHeight="1" x14ac:dyDescent="0.25">
      <c r="A4" s="20" t="s">
        <v>36</v>
      </c>
      <c r="B4" s="21" t="s">
        <v>37</v>
      </c>
      <c r="C4" s="21" t="s">
        <v>38</v>
      </c>
      <c r="D4" s="21" t="s">
        <v>39</v>
      </c>
      <c r="E4" s="21" t="s">
        <v>40</v>
      </c>
      <c r="F4" s="21" t="s">
        <v>41</v>
      </c>
      <c r="G4" s="21" t="s">
        <v>42</v>
      </c>
      <c r="H4" s="22" t="s">
        <v>43</v>
      </c>
    </row>
    <row r="5" spans="1:8" ht="81.95" customHeight="1" x14ac:dyDescent="0.25">
      <c r="A5" s="23" t="s">
        <v>44</v>
      </c>
      <c r="B5" s="24" t="s">
        <v>45</v>
      </c>
      <c r="C5" s="24" t="s">
        <v>46</v>
      </c>
      <c r="D5" s="24" t="s">
        <v>47</v>
      </c>
      <c r="E5" s="24" t="s">
        <v>48</v>
      </c>
      <c r="F5" s="24">
        <v>5</v>
      </c>
      <c r="G5" s="24" t="s">
        <v>49</v>
      </c>
      <c r="H5" s="25" t="s">
        <v>50</v>
      </c>
    </row>
    <row r="6" spans="1:8" ht="54.95" customHeight="1" x14ac:dyDescent="0.25">
      <c r="A6" s="29" t="s">
        <v>51</v>
      </c>
      <c r="B6" s="26" t="s">
        <v>52</v>
      </c>
      <c r="C6" s="32" t="s">
        <v>46</v>
      </c>
      <c r="D6" s="32" t="s">
        <v>47</v>
      </c>
      <c r="E6" s="26" t="s">
        <v>280</v>
      </c>
      <c r="F6" s="32">
        <v>5</v>
      </c>
      <c r="G6" s="26" t="s">
        <v>281</v>
      </c>
      <c r="H6" s="35" t="s">
        <v>55</v>
      </c>
    </row>
    <row r="7" spans="1:8" ht="54.95" customHeight="1" x14ac:dyDescent="0.25">
      <c r="A7" s="30" t="s">
        <v>56</v>
      </c>
      <c r="B7" s="27" t="s">
        <v>57</v>
      </c>
      <c r="C7" s="33" t="s">
        <v>46</v>
      </c>
      <c r="D7" s="33" t="s">
        <v>47</v>
      </c>
      <c r="E7" s="27" t="s">
        <v>282</v>
      </c>
      <c r="F7" s="33">
        <v>4</v>
      </c>
      <c r="G7" s="27" t="s">
        <v>281</v>
      </c>
      <c r="H7" s="36" t="s">
        <v>55</v>
      </c>
    </row>
    <row r="8" spans="1:8" ht="54.95" customHeight="1" x14ac:dyDescent="0.25">
      <c r="A8" s="30" t="s">
        <v>59</v>
      </c>
      <c r="B8" s="27" t="s">
        <v>60</v>
      </c>
      <c r="C8" s="33" t="s">
        <v>61</v>
      </c>
      <c r="D8" s="33" t="s">
        <v>27</v>
      </c>
      <c r="E8" s="27" t="s">
        <v>283</v>
      </c>
      <c r="F8" s="33">
        <v>4</v>
      </c>
      <c r="G8" s="27" t="s">
        <v>281</v>
      </c>
      <c r="H8" s="36" t="s">
        <v>55</v>
      </c>
    </row>
    <row r="9" spans="1:8" ht="54.95" customHeight="1" x14ac:dyDescent="0.25">
      <c r="A9" s="30" t="s">
        <v>63</v>
      </c>
      <c r="B9" s="27" t="s">
        <v>64</v>
      </c>
      <c r="C9" s="33" t="s">
        <v>46</v>
      </c>
      <c r="D9" s="33" t="s">
        <v>47</v>
      </c>
      <c r="E9" s="27" t="s">
        <v>284</v>
      </c>
      <c r="F9" s="33">
        <v>5</v>
      </c>
      <c r="G9" s="27" t="s">
        <v>281</v>
      </c>
      <c r="H9" s="36" t="s">
        <v>55</v>
      </c>
    </row>
    <row r="10" spans="1:8" ht="69.95" customHeight="1" x14ac:dyDescent="0.25">
      <c r="A10" s="30" t="s">
        <v>66</v>
      </c>
      <c r="B10" s="27" t="s">
        <v>67</v>
      </c>
      <c r="C10" s="33" t="s">
        <v>46</v>
      </c>
      <c r="D10" s="33" t="s">
        <v>47</v>
      </c>
      <c r="E10" s="27" t="s">
        <v>285</v>
      </c>
      <c r="F10" s="33">
        <v>5</v>
      </c>
      <c r="G10" s="27" t="s">
        <v>281</v>
      </c>
      <c r="H10" s="36" t="s">
        <v>55</v>
      </c>
    </row>
    <row r="11" spans="1:8" ht="69.95" customHeight="1" x14ac:dyDescent="0.25">
      <c r="A11" s="30" t="s">
        <v>69</v>
      </c>
      <c r="B11" s="27" t="s">
        <v>70</v>
      </c>
      <c r="C11" s="33" t="s">
        <v>46</v>
      </c>
      <c r="D11" s="33" t="s">
        <v>47</v>
      </c>
      <c r="E11" s="27" t="s">
        <v>284</v>
      </c>
      <c r="F11" s="33">
        <v>5</v>
      </c>
      <c r="G11" s="27" t="s">
        <v>281</v>
      </c>
      <c r="H11" s="36" t="s">
        <v>55</v>
      </c>
    </row>
    <row r="12" spans="1:8" ht="69.95" customHeight="1" x14ac:dyDescent="0.25">
      <c r="A12" s="30" t="s">
        <v>71</v>
      </c>
      <c r="B12" s="27" t="s">
        <v>72</v>
      </c>
      <c r="C12" s="33" t="s">
        <v>61</v>
      </c>
      <c r="D12" s="33" t="s">
        <v>15</v>
      </c>
      <c r="E12" s="27" t="s">
        <v>286</v>
      </c>
      <c r="F12" s="33">
        <v>4</v>
      </c>
      <c r="G12" s="27" t="s">
        <v>281</v>
      </c>
      <c r="H12" s="36" t="s">
        <v>55</v>
      </c>
    </row>
    <row r="13" spans="1:8" ht="54.95" customHeight="1" x14ac:dyDescent="0.25">
      <c r="A13" s="30" t="s">
        <v>74</v>
      </c>
      <c r="B13" s="27" t="s">
        <v>75</v>
      </c>
      <c r="C13" s="33" t="s">
        <v>61</v>
      </c>
      <c r="D13" s="33" t="s">
        <v>27</v>
      </c>
      <c r="E13" s="27" t="s">
        <v>287</v>
      </c>
      <c r="F13" s="33">
        <v>4</v>
      </c>
      <c r="G13" s="27" t="s">
        <v>281</v>
      </c>
      <c r="H13" s="36" t="s">
        <v>55</v>
      </c>
    </row>
    <row r="14" spans="1:8" ht="54.95" customHeight="1" x14ac:dyDescent="0.25">
      <c r="A14" s="30" t="s">
        <v>77</v>
      </c>
      <c r="B14" s="27" t="s">
        <v>78</v>
      </c>
      <c r="C14" s="33" t="s">
        <v>46</v>
      </c>
      <c r="D14" s="33" t="s">
        <v>47</v>
      </c>
      <c r="E14" s="27" t="s">
        <v>284</v>
      </c>
      <c r="F14" s="33">
        <v>5</v>
      </c>
      <c r="G14" s="27" t="s">
        <v>281</v>
      </c>
      <c r="H14" s="36" t="s">
        <v>55</v>
      </c>
    </row>
    <row r="15" spans="1:8" ht="54.95" customHeight="1" x14ac:dyDescent="0.25">
      <c r="A15" s="30" t="s">
        <v>79</v>
      </c>
      <c r="B15" s="27" t="s">
        <v>80</v>
      </c>
      <c r="C15" s="33" t="s">
        <v>46</v>
      </c>
      <c r="D15" s="33" t="s">
        <v>47</v>
      </c>
      <c r="E15" s="27" t="s">
        <v>284</v>
      </c>
      <c r="F15" s="33">
        <v>5</v>
      </c>
      <c r="G15" s="27" t="s">
        <v>281</v>
      </c>
      <c r="H15" s="36" t="s">
        <v>55</v>
      </c>
    </row>
    <row r="16" spans="1:8" ht="54.95" customHeight="1" x14ac:dyDescent="0.25">
      <c r="A16" s="30" t="s">
        <v>81</v>
      </c>
      <c r="B16" s="27" t="s">
        <v>82</v>
      </c>
      <c r="C16" s="33" t="s">
        <v>46</v>
      </c>
      <c r="D16" s="33" t="s">
        <v>47</v>
      </c>
      <c r="E16" s="27" t="s">
        <v>288</v>
      </c>
      <c r="F16" s="33">
        <v>3</v>
      </c>
      <c r="G16" s="27" t="s">
        <v>281</v>
      </c>
      <c r="H16" s="36" t="s">
        <v>55</v>
      </c>
    </row>
    <row r="17" spans="1:8" ht="69.95" customHeight="1" x14ac:dyDescent="0.25">
      <c r="A17" s="30" t="s">
        <v>84</v>
      </c>
      <c r="B17" s="27" t="s">
        <v>85</v>
      </c>
      <c r="C17" s="33" t="s">
        <v>46</v>
      </c>
      <c r="D17" s="33" t="s">
        <v>47</v>
      </c>
      <c r="E17" s="27" t="s">
        <v>284</v>
      </c>
      <c r="F17" s="33">
        <v>5</v>
      </c>
      <c r="G17" s="27" t="s">
        <v>281</v>
      </c>
      <c r="H17" s="36" t="s">
        <v>55</v>
      </c>
    </row>
    <row r="18" spans="1:8" ht="69.95" customHeight="1" x14ac:dyDescent="0.25">
      <c r="A18" s="30" t="s">
        <v>86</v>
      </c>
      <c r="B18" s="27" t="s">
        <v>87</v>
      </c>
      <c r="C18" s="33" t="s">
        <v>46</v>
      </c>
      <c r="D18" s="33" t="s">
        <v>47</v>
      </c>
      <c r="E18" s="27" t="s">
        <v>284</v>
      </c>
      <c r="F18" s="33">
        <v>5</v>
      </c>
      <c r="G18" s="27" t="s">
        <v>281</v>
      </c>
      <c r="H18" s="36" t="s">
        <v>55</v>
      </c>
    </row>
    <row r="19" spans="1:8" ht="54.95" customHeight="1" x14ac:dyDescent="0.25">
      <c r="A19" s="30" t="s">
        <v>88</v>
      </c>
      <c r="B19" s="27" t="s">
        <v>89</v>
      </c>
      <c r="C19" s="33" t="s">
        <v>46</v>
      </c>
      <c r="D19" s="33" t="s">
        <v>47</v>
      </c>
      <c r="E19" s="27" t="s">
        <v>289</v>
      </c>
      <c r="F19" s="33">
        <v>5</v>
      </c>
      <c r="G19" s="27" t="s">
        <v>281</v>
      </c>
      <c r="H19" s="36" t="s">
        <v>55</v>
      </c>
    </row>
    <row r="20" spans="1:8" ht="54.95" customHeight="1" x14ac:dyDescent="0.25">
      <c r="A20" s="30" t="s">
        <v>91</v>
      </c>
      <c r="B20" s="27" t="s">
        <v>92</v>
      </c>
      <c r="C20" s="33" t="s">
        <v>46</v>
      </c>
      <c r="D20" s="33" t="s">
        <v>47</v>
      </c>
      <c r="E20" s="27" t="s">
        <v>289</v>
      </c>
      <c r="F20" s="33">
        <v>5</v>
      </c>
      <c r="G20" s="27" t="s">
        <v>281</v>
      </c>
      <c r="H20" s="36" t="s">
        <v>55</v>
      </c>
    </row>
    <row r="21" spans="1:8" ht="54.95" customHeight="1" x14ac:dyDescent="0.25">
      <c r="A21" s="30" t="s">
        <v>93</v>
      </c>
      <c r="B21" s="27" t="s">
        <v>94</v>
      </c>
      <c r="C21" s="33" t="s">
        <v>46</v>
      </c>
      <c r="D21" s="33" t="s">
        <v>47</v>
      </c>
      <c r="E21" s="27" t="s">
        <v>289</v>
      </c>
      <c r="F21" s="33">
        <v>5</v>
      </c>
      <c r="G21" s="27" t="s">
        <v>281</v>
      </c>
      <c r="H21" s="36" t="s">
        <v>55</v>
      </c>
    </row>
    <row r="22" spans="1:8" ht="54.95" customHeight="1" x14ac:dyDescent="0.25">
      <c r="A22" s="30" t="s">
        <v>95</v>
      </c>
      <c r="B22" s="27" t="s">
        <v>96</v>
      </c>
      <c r="C22" s="33" t="s">
        <v>61</v>
      </c>
      <c r="D22" s="33" t="s">
        <v>15</v>
      </c>
      <c r="E22" s="27" t="s">
        <v>290</v>
      </c>
      <c r="F22" s="33">
        <v>4</v>
      </c>
      <c r="G22" s="27" t="s">
        <v>281</v>
      </c>
      <c r="H22" s="36" t="s">
        <v>55</v>
      </c>
    </row>
    <row r="23" spans="1:8" ht="69.95" customHeight="1" x14ac:dyDescent="0.25">
      <c r="A23" s="30" t="s">
        <v>98</v>
      </c>
      <c r="B23" s="27" t="s">
        <v>99</v>
      </c>
      <c r="C23" s="33" t="s">
        <v>61</v>
      </c>
      <c r="D23" s="33" t="s">
        <v>27</v>
      </c>
      <c r="E23" s="27" t="s">
        <v>291</v>
      </c>
      <c r="F23" s="33">
        <v>4</v>
      </c>
      <c r="G23" s="27" t="s">
        <v>281</v>
      </c>
      <c r="H23" s="36" t="s">
        <v>55</v>
      </c>
    </row>
    <row r="24" spans="1:8" ht="54.95" customHeight="1" x14ac:dyDescent="0.25">
      <c r="A24" s="30" t="s">
        <v>101</v>
      </c>
      <c r="B24" s="27" t="s">
        <v>102</v>
      </c>
      <c r="C24" s="33" t="s">
        <v>46</v>
      </c>
      <c r="D24" s="33" t="s">
        <v>47</v>
      </c>
      <c r="E24" s="27" t="s">
        <v>292</v>
      </c>
      <c r="F24" s="33">
        <v>5</v>
      </c>
      <c r="G24" s="27" t="s">
        <v>281</v>
      </c>
      <c r="H24" s="36" t="s">
        <v>55</v>
      </c>
    </row>
    <row r="25" spans="1:8" ht="69.95" customHeight="1" x14ac:dyDescent="0.25">
      <c r="A25" s="30" t="s">
        <v>104</v>
      </c>
      <c r="B25" s="27" t="s">
        <v>105</v>
      </c>
      <c r="C25" s="33" t="s">
        <v>46</v>
      </c>
      <c r="D25" s="33" t="s">
        <v>47</v>
      </c>
      <c r="E25" s="27" t="s">
        <v>293</v>
      </c>
      <c r="F25" s="33">
        <v>4</v>
      </c>
      <c r="G25" s="27" t="s">
        <v>281</v>
      </c>
      <c r="H25" s="36" t="s">
        <v>55</v>
      </c>
    </row>
    <row r="26" spans="1:8" ht="54.95" customHeight="1" x14ac:dyDescent="0.25">
      <c r="A26" s="30" t="s">
        <v>107</v>
      </c>
      <c r="B26" s="27" t="s">
        <v>108</v>
      </c>
      <c r="C26" s="33" t="s">
        <v>61</v>
      </c>
      <c r="D26" s="33" t="s">
        <v>15</v>
      </c>
      <c r="E26" s="27" t="s">
        <v>294</v>
      </c>
      <c r="F26" s="33">
        <v>4</v>
      </c>
      <c r="G26" s="27" t="s">
        <v>281</v>
      </c>
      <c r="H26" s="36" t="s">
        <v>55</v>
      </c>
    </row>
    <row r="27" spans="1:8" ht="54.95" customHeight="1" x14ac:dyDescent="0.25">
      <c r="A27" s="30" t="s">
        <v>110</v>
      </c>
      <c r="B27" s="27" t="s">
        <v>111</v>
      </c>
      <c r="C27" s="33" t="s">
        <v>46</v>
      </c>
      <c r="D27" s="33" t="s">
        <v>47</v>
      </c>
      <c r="E27" s="27" t="s">
        <v>295</v>
      </c>
      <c r="F27" s="33">
        <v>4</v>
      </c>
      <c r="G27" s="27" t="s">
        <v>281</v>
      </c>
      <c r="H27" s="36" t="s">
        <v>55</v>
      </c>
    </row>
    <row r="28" spans="1:8" ht="54.95" customHeight="1" x14ac:dyDescent="0.25">
      <c r="A28" s="30" t="s">
        <v>113</v>
      </c>
      <c r="B28" s="27" t="s">
        <v>114</v>
      </c>
      <c r="C28" s="33" t="s">
        <v>61</v>
      </c>
      <c r="D28" s="33" t="s">
        <v>18</v>
      </c>
      <c r="E28" s="27" t="s">
        <v>296</v>
      </c>
      <c r="F28" s="33">
        <v>4</v>
      </c>
      <c r="G28" s="27" t="s">
        <v>281</v>
      </c>
      <c r="H28" s="36" t="s">
        <v>55</v>
      </c>
    </row>
    <row r="29" spans="1:8" ht="69.95" customHeight="1" x14ac:dyDescent="0.25">
      <c r="A29" s="30" t="s">
        <v>116</v>
      </c>
      <c r="B29" s="27" t="s">
        <v>117</v>
      </c>
      <c r="C29" s="33" t="s">
        <v>46</v>
      </c>
      <c r="D29" s="33" t="s">
        <v>47</v>
      </c>
      <c r="E29" s="27" t="s">
        <v>297</v>
      </c>
      <c r="F29" s="33">
        <v>4</v>
      </c>
      <c r="G29" s="27" t="s">
        <v>281</v>
      </c>
      <c r="H29" s="36" t="s">
        <v>55</v>
      </c>
    </row>
    <row r="30" spans="1:8" ht="69.95" customHeight="1" x14ac:dyDescent="0.25">
      <c r="A30" s="30" t="s">
        <v>119</v>
      </c>
      <c r="B30" s="27" t="s">
        <v>120</v>
      </c>
      <c r="C30" s="33" t="s">
        <v>46</v>
      </c>
      <c r="D30" s="33" t="s">
        <v>47</v>
      </c>
      <c r="E30" s="27" t="s">
        <v>284</v>
      </c>
      <c r="F30" s="33">
        <v>5</v>
      </c>
      <c r="G30" s="27" t="s">
        <v>281</v>
      </c>
      <c r="H30" s="36" t="s">
        <v>55</v>
      </c>
    </row>
    <row r="31" spans="1:8" ht="54.95" customHeight="1" x14ac:dyDescent="0.25">
      <c r="A31" s="30" t="s">
        <v>121</v>
      </c>
      <c r="B31" s="27" t="s">
        <v>122</v>
      </c>
      <c r="C31" s="33" t="s">
        <v>61</v>
      </c>
      <c r="D31" s="33" t="s">
        <v>24</v>
      </c>
      <c r="E31" s="27" t="s">
        <v>298</v>
      </c>
      <c r="F31" s="33">
        <v>4</v>
      </c>
      <c r="G31" s="27" t="s">
        <v>281</v>
      </c>
      <c r="H31" s="36" t="s">
        <v>55</v>
      </c>
    </row>
    <row r="32" spans="1:8" ht="54.95" customHeight="1" x14ac:dyDescent="0.25">
      <c r="A32" s="30" t="s">
        <v>124</v>
      </c>
      <c r="B32" s="27" t="s">
        <v>125</v>
      </c>
      <c r="C32" s="33" t="s">
        <v>46</v>
      </c>
      <c r="D32" s="33" t="s">
        <v>47</v>
      </c>
      <c r="E32" s="27" t="s">
        <v>289</v>
      </c>
      <c r="F32" s="33">
        <v>5</v>
      </c>
      <c r="G32" s="27" t="s">
        <v>281</v>
      </c>
      <c r="H32" s="36" t="s">
        <v>55</v>
      </c>
    </row>
    <row r="33" spans="1:8" ht="54.95" customHeight="1" x14ac:dyDescent="0.25">
      <c r="A33" s="30" t="s">
        <v>126</v>
      </c>
      <c r="B33" s="27" t="s">
        <v>127</v>
      </c>
      <c r="C33" s="33" t="s">
        <v>46</v>
      </c>
      <c r="D33" s="33" t="s">
        <v>47</v>
      </c>
      <c r="E33" s="27" t="s">
        <v>292</v>
      </c>
      <c r="F33" s="33">
        <v>5</v>
      </c>
      <c r="G33" s="27" t="s">
        <v>281</v>
      </c>
      <c r="H33" s="36" t="s">
        <v>55</v>
      </c>
    </row>
    <row r="34" spans="1:8" ht="54.95" customHeight="1" x14ac:dyDescent="0.25">
      <c r="A34" s="30" t="s">
        <v>128</v>
      </c>
      <c r="B34" s="27" t="s">
        <v>129</v>
      </c>
      <c r="C34" s="33" t="s">
        <v>46</v>
      </c>
      <c r="D34" s="33" t="s">
        <v>47</v>
      </c>
      <c r="E34" s="27" t="s">
        <v>289</v>
      </c>
      <c r="F34" s="33">
        <v>5</v>
      </c>
      <c r="G34" s="27" t="s">
        <v>281</v>
      </c>
      <c r="H34" s="36" t="s">
        <v>55</v>
      </c>
    </row>
    <row r="35" spans="1:8" ht="54.95" customHeight="1" x14ac:dyDescent="0.25">
      <c r="A35" s="30" t="s">
        <v>130</v>
      </c>
      <c r="B35" s="27" t="s">
        <v>131</v>
      </c>
      <c r="C35" s="33" t="s">
        <v>46</v>
      </c>
      <c r="D35" s="33" t="s">
        <v>47</v>
      </c>
      <c r="E35" s="27" t="s">
        <v>284</v>
      </c>
      <c r="F35" s="33">
        <v>5</v>
      </c>
      <c r="G35" s="27" t="s">
        <v>281</v>
      </c>
      <c r="H35" s="36" t="s">
        <v>55</v>
      </c>
    </row>
    <row r="36" spans="1:8" ht="54.95" customHeight="1" x14ac:dyDescent="0.25">
      <c r="A36" s="30" t="s">
        <v>132</v>
      </c>
      <c r="B36" s="27" t="s">
        <v>133</v>
      </c>
      <c r="C36" s="33" t="s">
        <v>46</v>
      </c>
      <c r="D36" s="33" t="s">
        <v>47</v>
      </c>
      <c r="E36" s="27" t="s">
        <v>285</v>
      </c>
      <c r="F36" s="33">
        <v>5</v>
      </c>
      <c r="G36" s="27" t="s">
        <v>281</v>
      </c>
      <c r="H36" s="36" t="s">
        <v>55</v>
      </c>
    </row>
    <row r="37" spans="1:8" ht="54.95" customHeight="1" x14ac:dyDescent="0.25">
      <c r="A37" s="30" t="s">
        <v>134</v>
      </c>
      <c r="B37" s="27" t="s">
        <v>45</v>
      </c>
      <c r="C37" s="33" t="s">
        <v>46</v>
      </c>
      <c r="D37" s="33" t="s">
        <v>47</v>
      </c>
      <c r="E37" s="27" t="s">
        <v>289</v>
      </c>
      <c r="F37" s="33">
        <v>5</v>
      </c>
      <c r="G37" s="27" t="s">
        <v>281</v>
      </c>
      <c r="H37" s="36" t="s">
        <v>55</v>
      </c>
    </row>
    <row r="38" spans="1:8" ht="54.95" customHeight="1" x14ac:dyDescent="0.25">
      <c r="A38" s="30" t="s">
        <v>135</v>
      </c>
      <c r="B38" s="27" t="s">
        <v>136</v>
      </c>
      <c r="C38" s="33" t="s">
        <v>61</v>
      </c>
      <c r="D38" s="33" t="s">
        <v>24</v>
      </c>
      <c r="E38" s="27" t="s">
        <v>299</v>
      </c>
      <c r="F38" s="33">
        <v>4</v>
      </c>
      <c r="G38" s="27" t="s">
        <v>281</v>
      </c>
      <c r="H38" s="36" t="s">
        <v>55</v>
      </c>
    </row>
    <row r="39" spans="1:8" ht="54.95" customHeight="1" x14ac:dyDescent="0.25">
      <c r="A39" s="30" t="s">
        <v>138</v>
      </c>
      <c r="B39" s="27" t="s">
        <v>139</v>
      </c>
      <c r="C39" s="33" t="s">
        <v>61</v>
      </c>
      <c r="D39" s="33" t="s">
        <v>15</v>
      </c>
      <c r="E39" s="27" t="s">
        <v>300</v>
      </c>
      <c r="F39" s="33">
        <v>4</v>
      </c>
      <c r="G39" s="27" t="s">
        <v>281</v>
      </c>
      <c r="H39" s="36" t="s">
        <v>55</v>
      </c>
    </row>
    <row r="40" spans="1:8" ht="54.95" customHeight="1" x14ac:dyDescent="0.25">
      <c r="A40" s="30" t="s">
        <v>141</v>
      </c>
      <c r="B40" s="27" t="s">
        <v>142</v>
      </c>
      <c r="C40" s="33" t="s">
        <v>46</v>
      </c>
      <c r="D40" s="33" t="s">
        <v>47</v>
      </c>
      <c r="E40" s="27" t="s">
        <v>301</v>
      </c>
      <c r="F40" s="33">
        <v>4</v>
      </c>
      <c r="G40" s="27" t="s">
        <v>281</v>
      </c>
      <c r="H40" s="36" t="s">
        <v>55</v>
      </c>
    </row>
    <row r="41" spans="1:8" ht="54.95" customHeight="1" x14ac:dyDescent="0.25">
      <c r="A41" s="30" t="s">
        <v>144</v>
      </c>
      <c r="B41" s="27" t="s">
        <v>145</v>
      </c>
      <c r="C41" s="33" t="s">
        <v>46</v>
      </c>
      <c r="D41" s="33" t="s">
        <v>47</v>
      </c>
      <c r="E41" s="27" t="s">
        <v>289</v>
      </c>
      <c r="F41" s="33">
        <v>5</v>
      </c>
      <c r="G41" s="27" t="s">
        <v>281</v>
      </c>
      <c r="H41" s="36" t="s">
        <v>55</v>
      </c>
    </row>
    <row r="42" spans="1:8" ht="69.95" customHeight="1" x14ac:dyDescent="0.25">
      <c r="A42" s="30" t="s">
        <v>146</v>
      </c>
      <c r="B42" s="27" t="s">
        <v>147</v>
      </c>
      <c r="C42" s="33" t="s">
        <v>46</v>
      </c>
      <c r="D42" s="33" t="s">
        <v>47</v>
      </c>
      <c r="E42" s="27" t="s">
        <v>302</v>
      </c>
      <c r="F42" s="33">
        <v>4</v>
      </c>
      <c r="G42" s="27" t="s">
        <v>281</v>
      </c>
      <c r="H42" s="36" t="s">
        <v>55</v>
      </c>
    </row>
    <row r="43" spans="1:8" ht="69.95" customHeight="1" x14ac:dyDescent="0.25">
      <c r="A43" s="30" t="s">
        <v>149</v>
      </c>
      <c r="B43" s="27" t="s">
        <v>150</v>
      </c>
      <c r="C43" s="33" t="s">
        <v>46</v>
      </c>
      <c r="D43" s="33" t="s">
        <v>47</v>
      </c>
      <c r="E43" s="27" t="s">
        <v>289</v>
      </c>
      <c r="F43" s="33">
        <v>5</v>
      </c>
      <c r="G43" s="27" t="s">
        <v>281</v>
      </c>
      <c r="H43" s="36" t="s">
        <v>55</v>
      </c>
    </row>
    <row r="44" spans="1:8" ht="54.95" customHeight="1" x14ac:dyDescent="0.25">
      <c r="A44" s="30" t="s">
        <v>151</v>
      </c>
      <c r="B44" s="27" t="s">
        <v>152</v>
      </c>
      <c r="C44" s="33" t="s">
        <v>61</v>
      </c>
      <c r="D44" s="33" t="s">
        <v>24</v>
      </c>
      <c r="E44" s="27" t="s">
        <v>303</v>
      </c>
      <c r="F44" s="33">
        <v>4</v>
      </c>
      <c r="G44" s="27" t="s">
        <v>281</v>
      </c>
      <c r="H44" s="36" t="s">
        <v>55</v>
      </c>
    </row>
    <row r="45" spans="1:8" ht="54.95" customHeight="1" x14ac:dyDescent="0.25">
      <c r="A45" s="30" t="s">
        <v>154</v>
      </c>
      <c r="B45" s="27" t="s">
        <v>155</v>
      </c>
      <c r="C45" s="33" t="s">
        <v>61</v>
      </c>
      <c r="D45" s="33" t="s">
        <v>15</v>
      </c>
      <c r="E45" s="27" t="s">
        <v>304</v>
      </c>
      <c r="F45" s="33">
        <v>4</v>
      </c>
      <c r="G45" s="27" t="s">
        <v>281</v>
      </c>
      <c r="H45" s="36" t="s">
        <v>55</v>
      </c>
    </row>
    <row r="46" spans="1:8" ht="54.95" customHeight="1" x14ac:dyDescent="0.25">
      <c r="A46" s="30" t="s">
        <v>157</v>
      </c>
      <c r="B46" s="27" t="s">
        <v>158</v>
      </c>
      <c r="C46" s="33" t="s">
        <v>46</v>
      </c>
      <c r="D46" s="33" t="s">
        <v>47</v>
      </c>
      <c r="E46" s="27" t="s">
        <v>289</v>
      </c>
      <c r="F46" s="33">
        <v>5</v>
      </c>
      <c r="G46" s="27" t="s">
        <v>281</v>
      </c>
      <c r="H46" s="36" t="s">
        <v>55</v>
      </c>
    </row>
    <row r="47" spans="1:8" ht="54.95" customHeight="1" x14ac:dyDescent="0.25">
      <c r="A47" s="30" t="s">
        <v>159</v>
      </c>
      <c r="B47" s="27" t="s">
        <v>160</v>
      </c>
      <c r="C47" s="33" t="s">
        <v>61</v>
      </c>
      <c r="D47" s="33" t="s">
        <v>18</v>
      </c>
      <c r="E47" s="27" t="s">
        <v>305</v>
      </c>
      <c r="F47" s="33">
        <v>4</v>
      </c>
      <c r="G47" s="27" t="s">
        <v>281</v>
      </c>
      <c r="H47" s="36" t="s">
        <v>55</v>
      </c>
    </row>
    <row r="48" spans="1:8" ht="54.95" customHeight="1" x14ac:dyDescent="0.25">
      <c r="A48" s="30" t="s">
        <v>162</v>
      </c>
      <c r="B48" s="27" t="s">
        <v>163</v>
      </c>
      <c r="C48" s="33" t="s">
        <v>61</v>
      </c>
      <c r="D48" s="33" t="s">
        <v>15</v>
      </c>
      <c r="E48" s="27" t="s">
        <v>306</v>
      </c>
      <c r="F48" s="33">
        <v>4</v>
      </c>
      <c r="G48" s="27" t="s">
        <v>281</v>
      </c>
      <c r="H48" s="36" t="s">
        <v>55</v>
      </c>
    </row>
    <row r="49" spans="1:8" ht="54.95" customHeight="1" x14ac:dyDescent="0.25">
      <c r="A49" s="30" t="s">
        <v>165</v>
      </c>
      <c r="B49" s="27" t="s">
        <v>166</v>
      </c>
      <c r="C49" s="33" t="s">
        <v>46</v>
      </c>
      <c r="D49" s="33" t="s">
        <v>47</v>
      </c>
      <c r="E49" s="27" t="s">
        <v>285</v>
      </c>
      <c r="F49" s="33">
        <v>5</v>
      </c>
      <c r="G49" s="27" t="s">
        <v>281</v>
      </c>
      <c r="H49" s="36" t="s">
        <v>55</v>
      </c>
    </row>
    <row r="50" spans="1:8" ht="54.95" customHeight="1" x14ac:dyDescent="0.25">
      <c r="A50" s="30" t="s">
        <v>167</v>
      </c>
      <c r="B50" s="27" t="s">
        <v>168</v>
      </c>
      <c r="C50" s="33" t="s">
        <v>46</v>
      </c>
      <c r="D50" s="33" t="s">
        <v>47</v>
      </c>
      <c r="E50" s="27" t="s">
        <v>292</v>
      </c>
      <c r="F50" s="33">
        <v>5</v>
      </c>
      <c r="G50" s="27" t="s">
        <v>281</v>
      </c>
      <c r="H50" s="36" t="s">
        <v>55</v>
      </c>
    </row>
    <row r="51" spans="1:8" ht="54.95" customHeight="1" x14ac:dyDescent="0.25">
      <c r="A51" s="30" t="s">
        <v>169</v>
      </c>
      <c r="B51" s="27" t="s">
        <v>170</v>
      </c>
      <c r="C51" s="33" t="s">
        <v>61</v>
      </c>
      <c r="D51" s="33" t="s">
        <v>15</v>
      </c>
      <c r="E51" s="27" t="s">
        <v>307</v>
      </c>
      <c r="F51" s="33">
        <v>4</v>
      </c>
      <c r="G51" s="27" t="s">
        <v>281</v>
      </c>
      <c r="H51" s="36" t="s">
        <v>55</v>
      </c>
    </row>
    <row r="52" spans="1:8" ht="54.95" customHeight="1" x14ac:dyDescent="0.25">
      <c r="A52" s="30" t="s">
        <v>172</v>
      </c>
      <c r="B52" s="27" t="s">
        <v>173</v>
      </c>
      <c r="C52" s="33" t="s">
        <v>46</v>
      </c>
      <c r="D52" s="33" t="s">
        <v>47</v>
      </c>
      <c r="E52" s="27" t="s">
        <v>284</v>
      </c>
      <c r="F52" s="33">
        <v>5</v>
      </c>
      <c r="G52" s="27" t="s">
        <v>281</v>
      </c>
      <c r="H52" s="36" t="s">
        <v>55</v>
      </c>
    </row>
    <row r="53" spans="1:8" ht="48" customHeight="1" x14ac:dyDescent="0.25">
      <c r="A53" s="30" t="s">
        <v>174</v>
      </c>
      <c r="B53" s="27" t="s">
        <v>175</v>
      </c>
      <c r="C53" s="33" t="s">
        <v>46</v>
      </c>
      <c r="D53" s="33" t="s">
        <v>47</v>
      </c>
      <c r="E53" s="27" t="s">
        <v>308</v>
      </c>
      <c r="F53" s="33">
        <v>3</v>
      </c>
      <c r="G53" s="27" t="s">
        <v>281</v>
      </c>
      <c r="H53" s="36" t="s">
        <v>55</v>
      </c>
    </row>
    <row r="54" spans="1:8" ht="69.95" customHeight="1" x14ac:dyDescent="0.25">
      <c r="A54" s="30" t="s">
        <v>177</v>
      </c>
      <c r="B54" s="27" t="s">
        <v>178</v>
      </c>
      <c r="C54" s="33" t="s">
        <v>46</v>
      </c>
      <c r="D54" s="33" t="s">
        <v>47</v>
      </c>
      <c r="E54" s="27" t="s">
        <v>284</v>
      </c>
      <c r="F54" s="33">
        <v>5</v>
      </c>
      <c r="G54" s="27" t="s">
        <v>281</v>
      </c>
      <c r="H54" s="36" t="s">
        <v>55</v>
      </c>
    </row>
    <row r="55" spans="1:8" ht="54.95" customHeight="1" x14ac:dyDescent="0.25">
      <c r="A55" s="30" t="s">
        <v>179</v>
      </c>
      <c r="B55" s="27" t="s">
        <v>180</v>
      </c>
      <c r="C55" s="33" t="s">
        <v>61</v>
      </c>
      <c r="D55" s="33" t="s">
        <v>15</v>
      </c>
      <c r="E55" s="27" t="s">
        <v>309</v>
      </c>
      <c r="F55" s="33">
        <v>4</v>
      </c>
      <c r="G55" s="27" t="s">
        <v>281</v>
      </c>
      <c r="H55" s="36" t="s">
        <v>55</v>
      </c>
    </row>
    <row r="56" spans="1:8" ht="69.95" customHeight="1" x14ac:dyDescent="0.25">
      <c r="A56" s="30" t="s">
        <v>182</v>
      </c>
      <c r="B56" s="27" t="s">
        <v>183</v>
      </c>
      <c r="C56" s="33" t="s">
        <v>46</v>
      </c>
      <c r="D56" s="33" t="s">
        <v>47</v>
      </c>
      <c r="E56" s="27" t="s">
        <v>284</v>
      </c>
      <c r="F56" s="33">
        <v>5</v>
      </c>
      <c r="G56" s="27" t="s">
        <v>281</v>
      </c>
      <c r="H56" s="36" t="s">
        <v>55</v>
      </c>
    </row>
    <row r="57" spans="1:8" ht="54.95" customHeight="1" x14ac:dyDescent="0.25">
      <c r="A57" s="30" t="s">
        <v>184</v>
      </c>
      <c r="B57" s="27" t="s">
        <v>185</v>
      </c>
      <c r="C57" s="33" t="s">
        <v>61</v>
      </c>
      <c r="D57" s="33" t="s">
        <v>27</v>
      </c>
      <c r="E57" s="27" t="s">
        <v>310</v>
      </c>
      <c r="F57" s="33">
        <v>4</v>
      </c>
      <c r="G57" s="27" t="s">
        <v>281</v>
      </c>
      <c r="H57" s="36" t="s">
        <v>55</v>
      </c>
    </row>
    <row r="58" spans="1:8" ht="84.95" customHeight="1" x14ac:dyDescent="0.25">
      <c r="A58" s="30" t="s">
        <v>187</v>
      </c>
      <c r="B58" s="27" t="s">
        <v>188</v>
      </c>
      <c r="C58" s="33" t="s">
        <v>46</v>
      </c>
      <c r="D58" s="33" t="s">
        <v>47</v>
      </c>
      <c r="E58" s="27" t="s">
        <v>284</v>
      </c>
      <c r="F58" s="33">
        <v>5</v>
      </c>
      <c r="G58" s="27" t="s">
        <v>281</v>
      </c>
      <c r="H58" s="36" t="s">
        <v>55</v>
      </c>
    </row>
    <row r="59" spans="1:8" ht="69.95" customHeight="1" x14ac:dyDescent="0.25">
      <c r="A59" s="30" t="s">
        <v>189</v>
      </c>
      <c r="B59" s="27" t="s">
        <v>190</v>
      </c>
      <c r="C59" s="33" t="s">
        <v>61</v>
      </c>
      <c r="D59" s="33" t="s">
        <v>24</v>
      </c>
      <c r="E59" s="27" t="s">
        <v>311</v>
      </c>
      <c r="F59" s="33">
        <v>4</v>
      </c>
      <c r="G59" s="27" t="s">
        <v>281</v>
      </c>
      <c r="H59" s="36" t="s">
        <v>55</v>
      </c>
    </row>
    <row r="60" spans="1:8" ht="54.95" customHeight="1" x14ac:dyDescent="0.25">
      <c r="A60" s="31" t="s">
        <v>192</v>
      </c>
      <c r="B60" s="28" t="s">
        <v>193</v>
      </c>
      <c r="C60" s="34" t="s">
        <v>46</v>
      </c>
      <c r="D60" s="34" t="s">
        <v>47</v>
      </c>
      <c r="E60" s="28" t="s">
        <v>289</v>
      </c>
      <c r="F60" s="34">
        <v>5</v>
      </c>
      <c r="G60" s="28" t="s">
        <v>281</v>
      </c>
      <c r="H60" s="37" t="s">
        <v>55</v>
      </c>
    </row>
    <row r="62" spans="1:8" ht="24" customHeight="1" x14ac:dyDescent="0.25">
      <c r="A62" s="50" t="s">
        <v>194</v>
      </c>
      <c r="B62" s="50"/>
      <c r="C62" s="50"/>
      <c r="D62" s="50"/>
      <c r="E62" s="50"/>
      <c r="F62" s="50"/>
      <c r="G62" s="50"/>
      <c r="H62" s="50"/>
    </row>
    <row r="64" spans="1:8" ht="24" customHeight="1" x14ac:dyDescent="0.25">
      <c r="A64" s="51" t="s">
        <v>195</v>
      </c>
      <c r="B64" s="52"/>
      <c r="C64" s="52"/>
      <c r="D64" s="52"/>
      <c r="E64" s="52"/>
      <c r="F64" s="52"/>
      <c r="G64" s="52"/>
      <c r="H64" s="53"/>
    </row>
    <row r="65" spans="1:8" ht="27.95" customHeight="1" x14ac:dyDescent="0.25">
      <c r="A65" s="17" t="s">
        <v>196</v>
      </c>
      <c r="B65" s="16">
        <v>55</v>
      </c>
      <c r="C65" s="16" t="s">
        <v>197</v>
      </c>
      <c r="D65" s="16">
        <f>COUNTIF(C6:C60,"Ambiguo")</f>
        <v>18</v>
      </c>
      <c r="E65" s="16" t="s">
        <v>198</v>
      </c>
      <c r="F65" s="16">
        <f>COUNTIF(C6:C60,"No ambiguo")</f>
        <v>37</v>
      </c>
      <c r="G65" s="16" t="s">
        <v>199</v>
      </c>
      <c r="H65" s="18">
        <f>AVERAGE(F6:F60)</f>
        <v>4.4909090909090912</v>
      </c>
    </row>
    <row r="67" spans="1:8" ht="42" customHeight="1" x14ac:dyDescent="0.25">
      <c r="A67" s="54" t="s">
        <v>200</v>
      </c>
      <c r="B67" s="55"/>
      <c r="C67" s="55"/>
      <c r="D67" s="55"/>
      <c r="E67" s="55"/>
      <c r="F67" s="55"/>
      <c r="G67" s="55"/>
      <c r="H67" s="56"/>
    </row>
  </sheetData>
  <mergeCells count="5">
    <mergeCell ref="A1:H1"/>
    <mergeCell ref="A2:H2"/>
    <mergeCell ref="A62:H62"/>
    <mergeCell ref="A64:H64"/>
    <mergeCell ref="A67:H67"/>
  </mergeCells>
  <conditionalFormatting sqref="C6:C60">
    <cfRule type="expression" dxfId="3" priority="1">
      <formula>C6="Ambiguo"</formula>
    </cfRule>
    <cfRule type="expression" dxfId="2" priority="2">
      <formula>C6="No ambiguo"</formula>
    </cfRule>
  </conditionalFormatting>
  <dataValidations count="3">
    <dataValidation type="list" sqref="C6:C60" xr:uid="{00000000-0002-0000-0400-000000000000}">
      <formula1>"Ambiguo,No ambiguo"</formula1>
    </dataValidation>
    <dataValidation type="list" sqref="D6:D60" xr:uid="{00000000-0002-0000-0400-000001000000}">
      <formula1>"Ninguno,Cuantificador vago,Conjunción múltiple,Voz pasiva / sujeto ausente,Terminología imprecisa,Requisito no verificable / incompleto,Otro"</formula1>
    </dataValidation>
    <dataValidation type="whole" sqref="F6:F60" xr:uid="{00000000-0002-0000-0400-000002000000}">
      <formula1>1</formula1>
      <formula2>5</formula2>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67"/>
  <sheetViews>
    <sheetView zoomScale="85" zoomScaleNormal="85" workbookViewId="0">
      <selection sqref="A1:H1"/>
    </sheetView>
  </sheetViews>
  <sheetFormatPr baseColWidth="10" defaultColWidth="9.140625" defaultRowHeight="15" x14ac:dyDescent="0.25"/>
  <cols>
    <col min="1" max="1" width="14" customWidth="1"/>
    <col min="2" max="2" width="64" customWidth="1"/>
    <col min="3" max="3" width="16" customWidth="1"/>
    <col min="4" max="4" width="29" customWidth="1"/>
    <col min="5" max="5" width="52" customWidth="1"/>
    <col min="6" max="6" width="13" customWidth="1"/>
    <col min="7" max="7" width="34" customWidth="1"/>
    <col min="8" max="8" width="14" customWidth="1"/>
  </cols>
  <sheetData>
    <row r="1" spans="1:8" ht="26.1" customHeight="1" x14ac:dyDescent="0.25">
      <c r="A1" s="48" t="s">
        <v>34</v>
      </c>
      <c r="B1" s="48"/>
      <c r="C1" s="48"/>
      <c r="D1" s="48"/>
      <c r="E1" s="48"/>
      <c r="F1" s="48"/>
      <c r="G1" s="48"/>
      <c r="H1" s="48"/>
    </row>
    <row r="2" spans="1:8" ht="21.95" customHeight="1" x14ac:dyDescent="0.25">
      <c r="A2" s="49" t="s">
        <v>312</v>
      </c>
      <c r="B2" s="49"/>
      <c r="C2" s="49"/>
      <c r="D2" s="49"/>
      <c r="E2" s="49"/>
      <c r="F2" s="49"/>
      <c r="G2" s="49"/>
      <c r="H2" s="49"/>
    </row>
    <row r="4" spans="1:8" ht="33.950000000000003" customHeight="1" x14ac:dyDescent="0.25">
      <c r="A4" s="20" t="s">
        <v>36</v>
      </c>
      <c r="B4" s="21" t="s">
        <v>37</v>
      </c>
      <c r="C4" s="21" t="s">
        <v>38</v>
      </c>
      <c r="D4" s="21" t="s">
        <v>39</v>
      </c>
      <c r="E4" s="21" t="s">
        <v>40</v>
      </c>
      <c r="F4" s="21" t="s">
        <v>41</v>
      </c>
      <c r="G4" s="21" t="s">
        <v>42</v>
      </c>
      <c r="H4" s="22" t="s">
        <v>43</v>
      </c>
    </row>
    <row r="5" spans="1:8" ht="81.95" customHeight="1" x14ac:dyDescent="0.25">
      <c r="A5" s="23" t="s">
        <v>44</v>
      </c>
      <c r="B5" s="24" t="s">
        <v>45</v>
      </c>
      <c r="C5" s="24" t="s">
        <v>46</v>
      </c>
      <c r="D5" s="24" t="s">
        <v>47</v>
      </c>
      <c r="E5" s="24" t="s">
        <v>48</v>
      </c>
      <c r="F5" s="24">
        <v>5</v>
      </c>
      <c r="G5" s="24" t="s">
        <v>49</v>
      </c>
      <c r="H5" s="25" t="s">
        <v>50</v>
      </c>
    </row>
    <row r="6" spans="1:8" ht="54.95" customHeight="1" x14ac:dyDescent="0.25">
      <c r="A6" s="29" t="s">
        <v>51</v>
      </c>
      <c r="B6" s="26" t="s">
        <v>52</v>
      </c>
      <c r="C6" s="32" t="s">
        <v>46</v>
      </c>
      <c r="D6" s="32" t="s">
        <v>47</v>
      </c>
      <c r="E6" s="26" t="s">
        <v>313</v>
      </c>
      <c r="F6" s="32">
        <v>5</v>
      </c>
      <c r="G6" s="26" t="s">
        <v>314</v>
      </c>
      <c r="H6" s="35" t="s">
        <v>55</v>
      </c>
    </row>
    <row r="7" spans="1:8" ht="54.95" customHeight="1" x14ac:dyDescent="0.25">
      <c r="A7" s="30" t="s">
        <v>56</v>
      </c>
      <c r="B7" s="27" t="s">
        <v>57</v>
      </c>
      <c r="C7" s="33" t="s">
        <v>61</v>
      </c>
      <c r="D7" s="33" t="s">
        <v>27</v>
      </c>
      <c r="E7" s="27" t="s">
        <v>315</v>
      </c>
      <c r="F7" s="33">
        <v>3</v>
      </c>
      <c r="G7" s="27" t="s">
        <v>314</v>
      </c>
      <c r="H7" s="36" t="s">
        <v>55</v>
      </c>
    </row>
    <row r="8" spans="1:8" ht="54.95" customHeight="1" x14ac:dyDescent="0.25">
      <c r="A8" s="30" t="s">
        <v>59</v>
      </c>
      <c r="B8" s="27" t="s">
        <v>60</v>
      </c>
      <c r="C8" s="33" t="s">
        <v>61</v>
      </c>
      <c r="D8" s="33" t="s">
        <v>27</v>
      </c>
      <c r="E8" s="27" t="s">
        <v>316</v>
      </c>
      <c r="F8" s="33">
        <v>4</v>
      </c>
      <c r="G8" s="27" t="s">
        <v>314</v>
      </c>
      <c r="H8" s="36" t="s">
        <v>55</v>
      </c>
    </row>
    <row r="9" spans="1:8" ht="54.95" customHeight="1" x14ac:dyDescent="0.25">
      <c r="A9" s="30" t="s">
        <v>63</v>
      </c>
      <c r="B9" s="27" t="s">
        <v>64</v>
      </c>
      <c r="C9" s="33" t="s">
        <v>46</v>
      </c>
      <c r="D9" s="33" t="s">
        <v>47</v>
      </c>
      <c r="E9" s="27" t="s">
        <v>317</v>
      </c>
      <c r="F9" s="33">
        <v>5</v>
      </c>
      <c r="G9" s="27" t="s">
        <v>314</v>
      </c>
      <c r="H9" s="36" t="s">
        <v>55</v>
      </c>
    </row>
    <row r="10" spans="1:8" ht="69.95" customHeight="1" x14ac:dyDescent="0.25">
      <c r="A10" s="30" t="s">
        <v>66</v>
      </c>
      <c r="B10" s="27" t="s">
        <v>67</v>
      </c>
      <c r="C10" s="33" t="s">
        <v>46</v>
      </c>
      <c r="D10" s="33" t="s">
        <v>47</v>
      </c>
      <c r="E10" s="27" t="s">
        <v>318</v>
      </c>
      <c r="F10" s="33">
        <v>5</v>
      </c>
      <c r="G10" s="27" t="s">
        <v>314</v>
      </c>
      <c r="H10" s="36" t="s">
        <v>55</v>
      </c>
    </row>
    <row r="11" spans="1:8" ht="69.95" customHeight="1" x14ac:dyDescent="0.25">
      <c r="A11" s="30" t="s">
        <v>69</v>
      </c>
      <c r="B11" s="27" t="s">
        <v>70</v>
      </c>
      <c r="C11" s="33" t="s">
        <v>46</v>
      </c>
      <c r="D11" s="33" t="s">
        <v>47</v>
      </c>
      <c r="E11" s="27" t="s">
        <v>317</v>
      </c>
      <c r="F11" s="33">
        <v>5</v>
      </c>
      <c r="G11" s="27" t="s">
        <v>314</v>
      </c>
      <c r="H11" s="36" t="s">
        <v>55</v>
      </c>
    </row>
    <row r="12" spans="1:8" ht="69.95" customHeight="1" x14ac:dyDescent="0.25">
      <c r="A12" s="30" t="s">
        <v>71</v>
      </c>
      <c r="B12" s="27" t="s">
        <v>72</v>
      </c>
      <c r="C12" s="33" t="s">
        <v>61</v>
      </c>
      <c r="D12" s="33" t="s">
        <v>15</v>
      </c>
      <c r="E12" s="27" t="s">
        <v>319</v>
      </c>
      <c r="F12" s="33">
        <v>4</v>
      </c>
      <c r="G12" s="27" t="s">
        <v>314</v>
      </c>
      <c r="H12" s="36" t="s">
        <v>55</v>
      </c>
    </row>
    <row r="13" spans="1:8" ht="54.95" customHeight="1" x14ac:dyDescent="0.25">
      <c r="A13" s="30" t="s">
        <v>74</v>
      </c>
      <c r="B13" s="27" t="s">
        <v>75</v>
      </c>
      <c r="C13" s="33" t="s">
        <v>61</v>
      </c>
      <c r="D13" s="33" t="s">
        <v>27</v>
      </c>
      <c r="E13" s="27" t="s">
        <v>320</v>
      </c>
      <c r="F13" s="33">
        <v>4</v>
      </c>
      <c r="G13" s="27" t="s">
        <v>314</v>
      </c>
      <c r="H13" s="36" t="s">
        <v>55</v>
      </c>
    </row>
    <row r="14" spans="1:8" ht="54.95" customHeight="1" x14ac:dyDescent="0.25">
      <c r="A14" s="30" t="s">
        <v>77</v>
      </c>
      <c r="B14" s="27" t="s">
        <v>78</v>
      </c>
      <c r="C14" s="33" t="s">
        <v>46</v>
      </c>
      <c r="D14" s="33" t="s">
        <v>47</v>
      </c>
      <c r="E14" s="27" t="s">
        <v>317</v>
      </c>
      <c r="F14" s="33">
        <v>5</v>
      </c>
      <c r="G14" s="27" t="s">
        <v>314</v>
      </c>
      <c r="H14" s="36" t="s">
        <v>55</v>
      </c>
    </row>
    <row r="15" spans="1:8" ht="54.95" customHeight="1" x14ac:dyDescent="0.25">
      <c r="A15" s="30" t="s">
        <v>79</v>
      </c>
      <c r="B15" s="27" t="s">
        <v>80</v>
      </c>
      <c r="C15" s="33" t="s">
        <v>46</v>
      </c>
      <c r="D15" s="33" t="s">
        <v>47</v>
      </c>
      <c r="E15" s="27" t="s">
        <v>317</v>
      </c>
      <c r="F15" s="33">
        <v>5</v>
      </c>
      <c r="G15" s="27" t="s">
        <v>314</v>
      </c>
      <c r="H15" s="36" t="s">
        <v>55</v>
      </c>
    </row>
    <row r="16" spans="1:8" ht="54.95" customHeight="1" x14ac:dyDescent="0.25">
      <c r="A16" s="30" t="s">
        <v>81</v>
      </c>
      <c r="B16" s="27" t="s">
        <v>82</v>
      </c>
      <c r="C16" s="33" t="s">
        <v>61</v>
      </c>
      <c r="D16" s="33" t="s">
        <v>18</v>
      </c>
      <c r="E16" s="27" t="s">
        <v>321</v>
      </c>
      <c r="F16" s="33">
        <v>4</v>
      </c>
      <c r="G16" s="27" t="s">
        <v>314</v>
      </c>
      <c r="H16" s="36" t="s">
        <v>55</v>
      </c>
    </row>
    <row r="17" spans="1:8" ht="69.95" customHeight="1" x14ac:dyDescent="0.25">
      <c r="A17" s="30" t="s">
        <v>84</v>
      </c>
      <c r="B17" s="27" t="s">
        <v>85</v>
      </c>
      <c r="C17" s="33" t="s">
        <v>46</v>
      </c>
      <c r="D17" s="33" t="s">
        <v>47</v>
      </c>
      <c r="E17" s="27" t="s">
        <v>317</v>
      </c>
      <c r="F17" s="33">
        <v>5</v>
      </c>
      <c r="G17" s="27" t="s">
        <v>314</v>
      </c>
      <c r="H17" s="36" t="s">
        <v>55</v>
      </c>
    </row>
    <row r="18" spans="1:8" ht="69.95" customHeight="1" x14ac:dyDescent="0.25">
      <c r="A18" s="30" t="s">
        <v>86</v>
      </c>
      <c r="B18" s="27" t="s">
        <v>87</v>
      </c>
      <c r="C18" s="33" t="s">
        <v>46</v>
      </c>
      <c r="D18" s="33" t="s">
        <v>47</v>
      </c>
      <c r="E18" s="27" t="s">
        <v>317</v>
      </c>
      <c r="F18" s="33">
        <v>5</v>
      </c>
      <c r="G18" s="27" t="s">
        <v>314</v>
      </c>
      <c r="H18" s="36" t="s">
        <v>55</v>
      </c>
    </row>
    <row r="19" spans="1:8" ht="54.95" customHeight="1" x14ac:dyDescent="0.25">
      <c r="A19" s="30" t="s">
        <v>88</v>
      </c>
      <c r="B19" s="27" t="s">
        <v>89</v>
      </c>
      <c r="C19" s="33" t="s">
        <v>46</v>
      </c>
      <c r="D19" s="33" t="s">
        <v>47</v>
      </c>
      <c r="E19" s="27" t="s">
        <v>322</v>
      </c>
      <c r="F19" s="33">
        <v>5</v>
      </c>
      <c r="G19" s="27" t="s">
        <v>314</v>
      </c>
      <c r="H19" s="36" t="s">
        <v>55</v>
      </c>
    </row>
    <row r="20" spans="1:8" ht="54.95" customHeight="1" x14ac:dyDescent="0.25">
      <c r="A20" s="30" t="s">
        <v>91</v>
      </c>
      <c r="B20" s="27" t="s">
        <v>92</v>
      </c>
      <c r="C20" s="33" t="s">
        <v>46</v>
      </c>
      <c r="D20" s="33" t="s">
        <v>47</v>
      </c>
      <c r="E20" s="27" t="s">
        <v>322</v>
      </c>
      <c r="F20" s="33">
        <v>5</v>
      </c>
      <c r="G20" s="27" t="s">
        <v>314</v>
      </c>
      <c r="H20" s="36" t="s">
        <v>55</v>
      </c>
    </row>
    <row r="21" spans="1:8" ht="54.95" customHeight="1" x14ac:dyDescent="0.25">
      <c r="A21" s="30" t="s">
        <v>93</v>
      </c>
      <c r="B21" s="27" t="s">
        <v>94</v>
      </c>
      <c r="C21" s="33" t="s">
        <v>46</v>
      </c>
      <c r="D21" s="33" t="s">
        <v>47</v>
      </c>
      <c r="E21" s="27" t="s">
        <v>322</v>
      </c>
      <c r="F21" s="33">
        <v>5</v>
      </c>
      <c r="G21" s="27" t="s">
        <v>314</v>
      </c>
      <c r="H21" s="36" t="s">
        <v>55</v>
      </c>
    </row>
    <row r="22" spans="1:8" ht="54.95" customHeight="1" x14ac:dyDescent="0.25">
      <c r="A22" s="30" t="s">
        <v>95</v>
      </c>
      <c r="B22" s="27" t="s">
        <v>96</v>
      </c>
      <c r="C22" s="33" t="s">
        <v>61</v>
      </c>
      <c r="D22" s="33" t="s">
        <v>15</v>
      </c>
      <c r="E22" s="27" t="s">
        <v>323</v>
      </c>
      <c r="F22" s="33">
        <v>4</v>
      </c>
      <c r="G22" s="27" t="s">
        <v>314</v>
      </c>
      <c r="H22" s="36" t="s">
        <v>55</v>
      </c>
    </row>
    <row r="23" spans="1:8" ht="69.95" customHeight="1" x14ac:dyDescent="0.25">
      <c r="A23" s="30" t="s">
        <v>98</v>
      </c>
      <c r="B23" s="27" t="s">
        <v>99</v>
      </c>
      <c r="C23" s="33" t="s">
        <v>61</v>
      </c>
      <c r="D23" s="33" t="s">
        <v>27</v>
      </c>
      <c r="E23" s="27" t="s">
        <v>324</v>
      </c>
      <c r="F23" s="33">
        <v>4</v>
      </c>
      <c r="G23" s="27" t="s">
        <v>314</v>
      </c>
      <c r="H23" s="36" t="s">
        <v>55</v>
      </c>
    </row>
    <row r="24" spans="1:8" ht="54.95" customHeight="1" x14ac:dyDescent="0.25">
      <c r="A24" s="30" t="s">
        <v>101</v>
      </c>
      <c r="B24" s="27" t="s">
        <v>102</v>
      </c>
      <c r="C24" s="33" t="s">
        <v>46</v>
      </c>
      <c r="D24" s="33" t="s">
        <v>47</v>
      </c>
      <c r="E24" s="27" t="s">
        <v>325</v>
      </c>
      <c r="F24" s="33">
        <v>5</v>
      </c>
      <c r="G24" s="27" t="s">
        <v>314</v>
      </c>
      <c r="H24" s="36" t="s">
        <v>55</v>
      </c>
    </row>
    <row r="25" spans="1:8" ht="69.95" customHeight="1" x14ac:dyDescent="0.25">
      <c r="A25" s="30" t="s">
        <v>104</v>
      </c>
      <c r="B25" s="27" t="s">
        <v>105</v>
      </c>
      <c r="C25" s="33" t="s">
        <v>46</v>
      </c>
      <c r="D25" s="33" t="s">
        <v>47</v>
      </c>
      <c r="E25" s="27" t="s">
        <v>326</v>
      </c>
      <c r="F25" s="33">
        <v>4</v>
      </c>
      <c r="G25" s="27" t="s">
        <v>314</v>
      </c>
      <c r="H25" s="36" t="s">
        <v>55</v>
      </c>
    </row>
    <row r="26" spans="1:8" ht="54.95" customHeight="1" x14ac:dyDescent="0.25">
      <c r="A26" s="30" t="s">
        <v>107</v>
      </c>
      <c r="B26" s="27" t="s">
        <v>108</v>
      </c>
      <c r="C26" s="33" t="s">
        <v>61</v>
      </c>
      <c r="D26" s="33" t="s">
        <v>15</v>
      </c>
      <c r="E26" s="27" t="s">
        <v>327</v>
      </c>
      <c r="F26" s="33">
        <v>4</v>
      </c>
      <c r="G26" s="27" t="s">
        <v>314</v>
      </c>
      <c r="H26" s="36" t="s">
        <v>55</v>
      </c>
    </row>
    <row r="27" spans="1:8" ht="54.95" customHeight="1" x14ac:dyDescent="0.25">
      <c r="A27" s="30" t="s">
        <v>110</v>
      </c>
      <c r="B27" s="27" t="s">
        <v>111</v>
      </c>
      <c r="C27" s="33" t="s">
        <v>46</v>
      </c>
      <c r="D27" s="33" t="s">
        <v>47</v>
      </c>
      <c r="E27" s="27" t="s">
        <v>328</v>
      </c>
      <c r="F27" s="33">
        <v>4</v>
      </c>
      <c r="G27" s="27" t="s">
        <v>314</v>
      </c>
      <c r="H27" s="36" t="s">
        <v>55</v>
      </c>
    </row>
    <row r="28" spans="1:8" ht="54.95" customHeight="1" x14ac:dyDescent="0.25">
      <c r="A28" s="30" t="s">
        <v>113</v>
      </c>
      <c r="B28" s="27" t="s">
        <v>114</v>
      </c>
      <c r="C28" s="33" t="s">
        <v>61</v>
      </c>
      <c r="D28" s="33" t="s">
        <v>18</v>
      </c>
      <c r="E28" s="27" t="s">
        <v>329</v>
      </c>
      <c r="F28" s="33">
        <v>4</v>
      </c>
      <c r="G28" s="27" t="s">
        <v>314</v>
      </c>
      <c r="H28" s="36" t="s">
        <v>55</v>
      </c>
    </row>
    <row r="29" spans="1:8" ht="69.95" customHeight="1" x14ac:dyDescent="0.25">
      <c r="A29" s="30" t="s">
        <v>116</v>
      </c>
      <c r="B29" s="27" t="s">
        <v>117</v>
      </c>
      <c r="C29" s="33" t="s">
        <v>61</v>
      </c>
      <c r="D29" s="33" t="s">
        <v>24</v>
      </c>
      <c r="E29" s="27" t="s">
        <v>330</v>
      </c>
      <c r="F29" s="33">
        <v>3</v>
      </c>
      <c r="G29" s="27" t="s">
        <v>314</v>
      </c>
      <c r="H29" s="36" t="s">
        <v>55</v>
      </c>
    </row>
    <row r="30" spans="1:8" ht="69.95" customHeight="1" x14ac:dyDescent="0.25">
      <c r="A30" s="30" t="s">
        <v>119</v>
      </c>
      <c r="B30" s="27" t="s">
        <v>120</v>
      </c>
      <c r="C30" s="33" t="s">
        <v>46</v>
      </c>
      <c r="D30" s="33" t="s">
        <v>47</v>
      </c>
      <c r="E30" s="27" t="s">
        <v>317</v>
      </c>
      <c r="F30" s="33">
        <v>5</v>
      </c>
      <c r="G30" s="27" t="s">
        <v>314</v>
      </c>
      <c r="H30" s="36" t="s">
        <v>55</v>
      </c>
    </row>
    <row r="31" spans="1:8" ht="54.95" customHeight="1" x14ac:dyDescent="0.25">
      <c r="A31" s="30" t="s">
        <v>121</v>
      </c>
      <c r="B31" s="27" t="s">
        <v>122</v>
      </c>
      <c r="C31" s="33" t="s">
        <v>61</v>
      </c>
      <c r="D31" s="33" t="s">
        <v>24</v>
      </c>
      <c r="E31" s="27" t="s">
        <v>331</v>
      </c>
      <c r="F31" s="33">
        <v>4</v>
      </c>
      <c r="G31" s="27" t="s">
        <v>314</v>
      </c>
      <c r="H31" s="36" t="s">
        <v>55</v>
      </c>
    </row>
    <row r="32" spans="1:8" ht="54.95" customHeight="1" x14ac:dyDescent="0.25">
      <c r="A32" s="30" t="s">
        <v>124</v>
      </c>
      <c r="B32" s="27" t="s">
        <v>125</v>
      </c>
      <c r="C32" s="33" t="s">
        <v>46</v>
      </c>
      <c r="D32" s="33" t="s">
        <v>47</v>
      </c>
      <c r="E32" s="27" t="s">
        <v>322</v>
      </c>
      <c r="F32" s="33">
        <v>5</v>
      </c>
      <c r="G32" s="27" t="s">
        <v>314</v>
      </c>
      <c r="H32" s="36" t="s">
        <v>55</v>
      </c>
    </row>
    <row r="33" spans="1:8" ht="54.95" customHeight="1" x14ac:dyDescent="0.25">
      <c r="A33" s="30" t="s">
        <v>126</v>
      </c>
      <c r="B33" s="27" t="s">
        <v>127</v>
      </c>
      <c r="C33" s="33" t="s">
        <v>46</v>
      </c>
      <c r="D33" s="33" t="s">
        <v>47</v>
      </c>
      <c r="E33" s="27" t="s">
        <v>325</v>
      </c>
      <c r="F33" s="33">
        <v>5</v>
      </c>
      <c r="G33" s="27" t="s">
        <v>314</v>
      </c>
      <c r="H33" s="36" t="s">
        <v>55</v>
      </c>
    </row>
    <row r="34" spans="1:8" ht="54.95" customHeight="1" x14ac:dyDescent="0.25">
      <c r="A34" s="30" t="s">
        <v>128</v>
      </c>
      <c r="B34" s="27" t="s">
        <v>129</v>
      </c>
      <c r="C34" s="33" t="s">
        <v>46</v>
      </c>
      <c r="D34" s="33" t="s">
        <v>47</v>
      </c>
      <c r="E34" s="27" t="s">
        <v>322</v>
      </c>
      <c r="F34" s="33">
        <v>5</v>
      </c>
      <c r="G34" s="27" t="s">
        <v>314</v>
      </c>
      <c r="H34" s="36" t="s">
        <v>55</v>
      </c>
    </row>
    <row r="35" spans="1:8" ht="54.95" customHeight="1" x14ac:dyDescent="0.25">
      <c r="A35" s="30" t="s">
        <v>130</v>
      </c>
      <c r="B35" s="27" t="s">
        <v>131</v>
      </c>
      <c r="C35" s="33" t="s">
        <v>46</v>
      </c>
      <c r="D35" s="33" t="s">
        <v>47</v>
      </c>
      <c r="E35" s="27" t="s">
        <v>317</v>
      </c>
      <c r="F35" s="33">
        <v>5</v>
      </c>
      <c r="G35" s="27" t="s">
        <v>314</v>
      </c>
      <c r="H35" s="36" t="s">
        <v>55</v>
      </c>
    </row>
    <row r="36" spans="1:8" ht="54.95" customHeight="1" x14ac:dyDescent="0.25">
      <c r="A36" s="30" t="s">
        <v>132</v>
      </c>
      <c r="B36" s="27" t="s">
        <v>133</v>
      </c>
      <c r="C36" s="33" t="s">
        <v>46</v>
      </c>
      <c r="D36" s="33" t="s">
        <v>47</v>
      </c>
      <c r="E36" s="27" t="s">
        <v>318</v>
      </c>
      <c r="F36" s="33">
        <v>5</v>
      </c>
      <c r="G36" s="27" t="s">
        <v>314</v>
      </c>
      <c r="H36" s="36" t="s">
        <v>55</v>
      </c>
    </row>
    <row r="37" spans="1:8" ht="54.95" customHeight="1" x14ac:dyDescent="0.25">
      <c r="A37" s="30" t="s">
        <v>134</v>
      </c>
      <c r="B37" s="27" t="s">
        <v>45</v>
      </c>
      <c r="C37" s="33" t="s">
        <v>46</v>
      </c>
      <c r="D37" s="33" t="s">
        <v>47</v>
      </c>
      <c r="E37" s="27" t="s">
        <v>322</v>
      </c>
      <c r="F37" s="33">
        <v>5</v>
      </c>
      <c r="G37" s="27" t="s">
        <v>314</v>
      </c>
      <c r="H37" s="36" t="s">
        <v>55</v>
      </c>
    </row>
    <row r="38" spans="1:8" ht="54.95" customHeight="1" x14ac:dyDescent="0.25">
      <c r="A38" s="30" t="s">
        <v>135</v>
      </c>
      <c r="B38" s="27" t="s">
        <v>136</v>
      </c>
      <c r="C38" s="33" t="s">
        <v>61</v>
      </c>
      <c r="D38" s="33" t="s">
        <v>24</v>
      </c>
      <c r="E38" s="27" t="s">
        <v>332</v>
      </c>
      <c r="F38" s="33">
        <v>4</v>
      </c>
      <c r="G38" s="27" t="s">
        <v>314</v>
      </c>
      <c r="H38" s="36" t="s">
        <v>55</v>
      </c>
    </row>
    <row r="39" spans="1:8" ht="54.95" customHeight="1" x14ac:dyDescent="0.25">
      <c r="A39" s="30" t="s">
        <v>138</v>
      </c>
      <c r="B39" s="27" t="s">
        <v>139</v>
      </c>
      <c r="C39" s="33" t="s">
        <v>61</v>
      </c>
      <c r="D39" s="33" t="s">
        <v>15</v>
      </c>
      <c r="E39" s="27" t="s">
        <v>333</v>
      </c>
      <c r="F39" s="33">
        <v>4</v>
      </c>
      <c r="G39" s="27" t="s">
        <v>314</v>
      </c>
      <c r="H39" s="36" t="s">
        <v>55</v>
      </c>
    </row>
    <row r="40" spans="1:8" ht="54.95" customHeight="1" x14ac:dyDescent="0.25">
      <c r="A40" s="30" t="s">
        <v>141</v>
      </c>
      <c r="B40" s="27" t="s">
        <v>142</v>
      </c>
      <c r="C40" s="33" t="s">
        <v>61</v>
      </c>
      <c r="D40" s="33" t="s">
        <v>27</v>
      </c>
      <c r="E40" s="27" t="s">
        <v>334</v>
      </c>
      <c r="F40" s="33">
        <v>3</v>
      </c>
      <c r="G40" s="27" t="s">
        <v>314</v>
      </c>
      <c r="H40" s="36" t="s">
        <v>55</v>
      </c>
    </row>
    <row r="41" spans="1:8" ht="54.95" customHeight="1" x14ac:dyDescent="0.25">
      <c r="A41" s="30" t="s">
        <v>144</v>
      </c>
      <c r="B41" s="27" t="s">
        <v>145</v>
      </c>
      <c r="C41" s="33" t="s">
        <v>46</v>
      </c>
      <c r="D41" s="33" t="s">
        <v>47</v>
      </c>
      <c r="E41" s="27" t="s">
        <v>322</v>
      </c>
      <c r="F41" s="33">
        <v>5</v>
      </c>
      <c r="G41" s="27" t="s">
        <v>314</v>
      </c>
      <c r="H41" s="36" t="s">
        <v>55</v>
      </c>
    </row>
    <row r="42" spans="1:8" ht="69.95" customHeight="1" x14ac:dyDescent="0.25">
      <c r="A42" s="30" t="s">
        <v>146</v>
      </c>
      <c r="B42" s="27" t="s">
        <v>147</v>
      </c>
      <c r="C42" s="33" t="s">
        <v>61</v>
      </c>
      <c r="D42" s="33" t="s">
        <v>24</v>
      </c>
      <c r="E42" s="27" t="s">
        <v>335</v>
      </c>
      <c r="F42" s="33">
        <v>3</v>
      </c>
      <c r="G42" s="27" t="s">
        <v>314</v>
      </c>
      <c r="H42" s="36" t="s">
        <v>55</v>
      </c>
    </row>
    <row r="43" spans="1:8" ht="69.95" customHeight="1" x14ac:dyDescent="0.25">
      <c r="A43" s="30" t="s">
        <v>149</v>
      </c>
      <c r="B43" s="27" t="s">
        <v>150</v>
      </c>
      <c r="C43" s="33" t="s">
        <v>46</v>
      </c>
      <c r="D43" s="33" t="s">
        <v>47</v>
      </c>
      <c r="E43" s="27" t="s">
        <v>322</v>
      </c>
      <c r="F43" s="33">
        <v>5</v>
      </c>
      <c r="G43" s="27" t="s">
        <v>314</v>
      </c>
      <c r="H43" s="36" t="s">
        <v>55</v>
      </c>
    </row>
    <row r="44" spans="1:8" ht="54.95" customHeight="1" x14ac:dyDescent="0.25">
      <c r="A44" s="30" t="s">
        <v>151</v>
      </c>
      <c r="B44" s="27" t="s">
        <v>152</v>
      </c>
      <c r="C44" s="33" t="s">
        <v>61</v>
      </c>
      <c r="D44" s="33" t="s">
        <v>24</v>
      </c>
      <c r="E44" s="27" t="s">
        <v>336</v>
      </c>
      <c r="F44" s="33">
        <v>4</v>
      </c>
      <c r="G44" s="27" t="s">
        <v>314</v>
      </c>
      <c r="H44" s="36" t="s">
        <v>55</v>
      </c>
    </row>
    <row r="45" spans="1:8" ht="54.95" customHeight="1" x14ac:dyDescent="0.25">
      <c r="A45" s="30" t="s">
        <v>154</v>
      </c>
      <c r="B45" s="27" t="s">
        <v>155</v>
      </c>
      <c r="C45" s="33" t="s">
        <v>61</v>
      </c>
      <c r="D45" s="33" t="s">
        <v>15</v>
      </c>
      <c r="E45" s="27" t="s">
        <v>337</v>
      </c>
      <c r="F45" s="33">
        <v>4</v>
      </c>
      <c r="G45" s="27" t="s">
        <v>314</v>
      </c>
      <c r="H45" s="36" t="s">
        <v>55</v>
      </c>
    </row>
    <row r="46" spans="1:8" ht="54.95" customHeight="1" x14ac:dyDescent="0.25">
      <c r="A46" s="30" t="s">
        <v>157</v>
      </c>
      <c r="B46" s="27" t="s">
        <v>158</v>
      </c>
      <c r="C46" s="33" t="s">
        <v>46</v>
      </c>
      <c r="D46" s="33" t="s">
        <v>47</v>
      </c>
      <c r="E46" s="27" t="s">
        <v>322</v>
      </c>
      <c r="F46" s="33">
        <v>5</v>
      </c>
      <c r="G46" s="27" t="s">
        <v>314</v>
      </c>
      <c r="H46" s="36" t="s">
        <v>55</v>
      </c>
    </row>
    <row r="47" spans="1:8" ht="54.95" customHeight="1" x14ac:dyDescent="0.25">
      <c r="A47" s="30" t="s">
        <v>159</v>
      </c>
      <c r="B47" s="27" t="s">
        <v>160</v>
      </c>
      <c r="C47" s="33" t="s">
        <v>61</v>
      </c>
      <c r="D47" s="33" t="s">
        <v>18</v>
      </c>
      <c r="E47" s="27" t="s">
        <v>338</v>
      </c>
      <c r="F47" s="33">
        <v>4</v>
      </c>
      <c r="G47" s="27" t="s">
        <v>314</v>
      </c>
      <c r="H47" s="36" t="s">
        <v>55</v>
      </c>
    </row>
    <row r="48" spans="1:8" ht="54.95" customHeight="1" x14ac:dyDescent="0.25">
      <c r="A48" s="30" t="s">
        <v>162</v>
      </c>
      <c r="B48" s="27" t="s">
        <v>163</v>
      </c>
      <c r="C48" s="33" t="s">
        <v>61</v>
      </c>
      <c r="D48" s="33" t="s">
        <v>15</v>
      </c>
      <c r="E48" s="27" t="s">
        <v>339</v>
      </c>
      <c r="F48" s="33">
        <v>4</v>
      </c>
      <c r="G48" s="27" t="s">
        <v>314</v>
      </c>
      <c r="H48" s="36" t="s">
        <v>55</v>
      </c>
    </row>
    <row r="49" spans="1:8" ht="54.95" customHeight="1" x14ac:dyDescent="0.25">
      <c r="A49" s="30" t="s">
        <v>165</v>
      </c>
      <c r="B49" s="27" t="s">
        <v>166</v>
      </c>
      <c r="C49" s="33" t="s">
        <v>46</v>
      </c>
      <c r="D49" s="33" t="s">
        <v>47</v>
      </c>
      <c r="E49" s="27" t="s">
        <v>318</v>
      </c>
      <c r="F49" s="33">
        <v>5</v>
      </c>
      <c r="G49" s="27" t="s">
        <v>314</v>
      </c>
      <c r="H49" s="36" t="s">
        <v>55</v>
      </c>
    </row>
    <row r="50" spans="1:8" ht="54.95" customHeight="1" x14ac:dyDescent="0.25">
      <c r="A50" s="30" t="s">
        <v>167</v>
      </c>
      <c r="B50" s="27" t="s">
        <v>168</v>
      </c>
      <c r="C50" s="33" t="s">
        <v>46</v>
      </c>
      <c r="D50" s="33" t="s">
        <v>47</v>
      </c>
      <c r="E50" s="27" t="s">
        <v>325</v>
      </c>
      <c r="F50" s="33">
        <v>5</v>
      </c>
      <c r="G50" s="27" t="s">
        <v>314</v>
      </c>
      <c r="H50" s="36" t="s">
        <v>55</v>
      </c>
    </row>
    <row r="51" spans="1:8" ht="54.95" customHeight="1" x14ac:dyDescent="0.25">
      <c r="A51" s="30" t="s">
        <v>169</v>
      </c>
      <c r="B51" s="27" t="s">
        <v>170</v>
      </c>
      <c r="C51" s="33" t="s">
        <v>61</v>
      </c>
      <c r="D51" s="33" t="s">
        <v>15</v>
      </c>
      <c r="E51" s="27" t="s">
        <v>340</v>
      </c>
      <c r="F51" s="33">
        <v>4</v>
      </c>
      <c r="G51" s="27" t="s">
        <v>314</v>
      </c>
      <c r="H51" s="36" t="s">
        <v>55</v>
      </c>
    </row>
    <row r="52" spans="1:8" ht="54.95" customHeight="1" x14ac:dyDescent="0.25">
      <c r="A52" s="30" t="s">
        <v>172</v>
      </c>
      <c r="B52" s="27" t="s">
        <v>173</v>
      </c>
      <c r="C52" s="33" t="s">
        <v>46</v>
      </c>
      <c r="D52" s="33" t="s">
        <v>47</v>
      </c>
      <c r="E52" s="27" t="s">
        <v>317</v>
      </c>
      <c r="F52" s="33">
        <v>5</v>
      </c>
      <c r="G52" s="27" t="s">
        <v>314</v>
      </c>
      <c r="H52" s="36" t="s">
        <v>55</v>
      </c>
    </row>
    <row r="53" spans="1:8" ht="54.95" customHeight="1" x14ac:dyDescent="0.25">
      <c r="A53" s="30" t="s">
        <v>174</v>
      </c>
      <c r="B53" s="27" t="s">
        <v>175</v>
      </c>
      <c r="C53" s="33" t="s">
        <v>61</v>
      </c>
      <c r="D53" s="33" t="s">
        <v>27</v>
      </c>
      <c r="E53" s="27" t="s">
        <v>341</v>
      </c>
      <c r="F53" s="33">
        <v>4</v>
      </c>
      <c r="G53" s="27" t="s">
        <v>314</v>
      </c>
      <c r="H53" s="36" t="s">
        <v>55</v>
      </c>
    </row>
    <row r="54" spans="1:8" ht="69.95" customHeight="1" x14ac:dyDescent="0.25">
      <c r="A54" s="30" t="s">
        <v>177</v>
      </c>
      <c r="B54" s="27" t="s">
        <v>178</v>
      </c>
      <c r="C54" s="33" t="s">
        <v>46</v>
      </c>
      <c r="D54" s="33" t="s">
        <v>47</v>
      </c>
      <c r="E54" s="27" t="s">
        <v>317</v>
      </c>
      <c r="F54" s="33">
        <v>5</v>
      </c>
      <c r="G54" s="27" t="s">
        <v>314</v>
      </c>
      <c r="H54" s="36" t="s">
        <v>55</v>
      </c>
    </row>
    <row r="55" spans="1:8" ht="54.95" customHeight="1" x14ac:dyDescent="0.25">
      <c r="A55" s="30" t="s">
        <v>179</v>
      </c>
      <c r="B55" s="27" t="s">
        <v>180</v>
      </c>
      <c r="C55" s="33" t="s">
        <v>61</v>
      </c>
      <c r="D55" s="33" t="s">
        <v>15</v>
      </c>
      <c r="E55" s="27" t="s">
        <v>342</v>
      </c>
      <c r="F55" s="33">
        <v>4</v>
      </c>
      <c r="G55" s="27" t="s">
        <v>314</v>
      </c>
      <c r="H55" s="36" t="s">
        <v>55</v>
      </c>
    </row>
    <row r="56" spans="1:8" ht="69.95" customHeight="1" x14ac:dyDescent="0.25">
      <c r="A56" s="30" t="s">
        <v>182</v>
      </c>
      <c r="B56" s="27" t="s">
        <v>183</v>
      </c>
      <c r="C56" s="33" t="s">
        <v>46</v>
      </c>
      <c r="D56" s="33" t="s">
        <v>47</v>
      </c>
      <c r="E56" s="27" t="s">
        <v>317</v>
      </c>
      <c r="F56" s="33">
        <v>5</v>
      </c>
      <c r="G56" s="27" t="s">
        <v>314</v>
      </c>
      <c r="H56" s="36" t="s">
        <v>55</v>
      </c>
    </row>
    <row r="57" spans="1:8" ht="54.95" customHeight="1" x14ac:dyDescent="0.25">
      <c r="A57" s="30" t="s">
        <v>184</v>
      </c>
      <c r="B57" s="27" t="s">
        <v>185</v>
      </c>
      <c r="C57" s="33" t="s">
        <v>61</v>
      </c>
      <c r="D57" s="33" t="s">
        <v>27</v>
      </c>
      <c r="E57" s="27" t="s">
        <v>343</v>
      </c>
      <c r="F57" s="33">
        <v>4</v>
      </c>
      <c r="G57" s="27" t="s">
        <v>314</v>
      </c>
      <c r="H57" s="36" t="s">
        <v>55</v>
      </c>
    </row>
    <row r="58" spans="1:8" ht="84.95" customHeight="1" x14ac:dyDescent="0.25">
      <c r="A58" s="30" t="s">
        <v>187</v>
      </c>
      <c r="B58" s="27" t="s">
        <v>188</v>
      </c>
      <c r="C58" s="33" t="s">
        <v>46</v>
      </c>
      <c r="D58" s="33" t="s">
        <v>47</v>
      </c>
      <c r="E58" s="27" t="s">
        <v>317</v>
      </c>
      <c r="F58" s="33">
        <v>5</v>
      </c>
      <c r="G58" s="27" t="s">
        <v>314</v>
      </c>
      <c r="H58" s="36" t="s">
        <v>55</v>
      </c>
    </row>
    <row r="59" spans="1:8" ht="69.95" customHeight="1" x14ac:dyDescent="0.25">
      <c r="A59" s="30" t="s">
        <v>189</v>
      </c>
      <c r="B59" s="27" t="s">
        <v>190</v>
      </c>
      <c r="C59" s="33" t="s">
        <v>61</v>
      </c>
      <c r="D59" s="33" t="s">
        <v>24</v>
      </c>
      <c r="E59" s="27" t="s">
        <v>344</v>
      </c>
      <c r="F59" s="33">
        <v>4</v>
      </c>
      <c r="G59" s="27" t="s">
        <v>314</v>
      </c>
      <c r="H59" s="36" t="s">
        <v>55</v>
      </c>
    </row>
    <row r="60" spans="1:8" ht="54.95" customHeight="1" x14ac:dyDescent="0.25">
      <c r="A60" s="31" t="s">
        <v>192</v>
      </c>
      <c r="B60" s="28" t="s">
        <v>193</v>
      </c>
      <c r="C60" s="34" t="s">
        <v>46</v>
      </c>
      <c r="D60" s="34" t="s">
        <v>47</v>
      </c>
      <c r="E60" s="28" t="s">
        <v>322</v>
      </c>
      <c r="F60" s="34">
        <v>5</v>
      </c>
      <c r="G60" s="28" t="s">
        <v>314</v>
      </c>
      <c r="H60" s="37" t="s">
        <v>55</v>
      </c>
    </row>
    <row r="62" spans="1:8" ht="24" customHeight="1" x14ac:dyDescent="0.25">
      <c r="A62" s="50" t="s">
        <v>194</v>
      </c>
      <c r="B62" s="50"/>
      <c r="C62" s="50"/>
      <c r="D62" s="50"/>
      <c r="E62" s="50"/>
      <c r="F62" s="50"/>
      <c r="G62" s="50"/>
      <c r="H62" s="50"/>
    </row>
    <row r="64" spans="1:8" ht="24" customHeight="1" x14ac:dyDescent="0.25">
      <c r="A64" s="51" t="s">
        <v>195</v>
      </c>
      <c r="B64" s="52"/>
      <c r="C64" s="52"/>
      <c r="D64" s="52"/>
      <c r="E64" s="52"/>
      <c r="F64" s="52"/>
      <c r="G64" s="52"/>
      <c r="H64" s="53"/>
    </row>
    <row r="65" spans="1:8" ht="27.95" customHeight="1" x14ac:dyDescent="0.25">
      <c r="A65" s="17" t="s">
        <v>196</v>
      </c>
      <c r="B65" s="16">
        <v>55</v>
      </c>
      <c r="C65" s="16" t="s">
        <v>197</v>
      </c>
      <c r="D65" s="16">
        <f>COUNTIF(C6:C60,"Ambiguo")</f>
        <v>24</v>
      </c>
      <c r="E65" s="16" t="s">
        <v>198</v>
      </c>
      <c r="F65" s="16">
        <f>COUNTIF(C6:C60,"No ambiguo")</f>
        <v>31</v>
      </c>
      <c r="G65" s="16" t="s">
        <v>199</v>
      </c>
      <c r="H65" s="18">
        <f>AVERAGE(F6:F60)</f>
        <v>4.4545454545454541</v>
      </c>
    </row>
    <row r="67" spans="1:8" ht="42" customHeight="1" x14ac:dyDescent="0.25">
      <c r="A67" s="54" t="s">
        <v>200</v>
      </c>
      <c r="B67" s="55"/>
      <c r="C67" s="55"/>
      <c r="D67" s="55"/>
      <c r="E67" s="55"/>
      <c r="F67" s="55"/>
      <c r="G67" s="55"/>
      <c r="H67" s="56"/>
    </row>
  </sheetData>
  <mergeCells count="5">
    <mergeCell ref="A1:H1"/>
    <mergeCell ref="A2:H2"/>
    <mergeCell ref="A62:H62"/>
    <mergeCell ref="A64:H64"/>
    <mergeCell ref="A67:H67"/>
  </mergeCells>
  <conditionalFormatting sqref="C6:C60">
    <cfRule type="expression" dxfId="1" priority="1">
      <formula>C6="Ambiguo"</formula>
    </cfRule>
    <cfRule type="expression" dxfId="0" priority="2">
      <formula>C6="No ambiguo"</formula>
    </cfRule>
  </conditionalFormatting>
  <dataValidations count="3">
    <dataValidation type="list" sqref="C6:C60" xr:uid="{00000000-0002-0000-0500-000000000000}">
      <formula1>"Ambiguo,No ambiguo"</formula1>
    </dataValidation>
    <dataValidation type="list" sqref="D6:D60" xr:uid="{00000000-0002-0000-0500-000001000000}">
      <formula1>"Ninguno,Cuantificador vago,Conjunción múltiple,Voz pasiva / sujeto ausente,Terminología imprecisa,Requisito no verificable / incompleto,Otro"</formula1>
    </dataValidation>
    <dataValidation type="whole" sqref="F6:F60" xr:uid="{00000000-0002-0000-0500-000002000000}">
      <formula1>1</formula1>
      <formula2>5</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Instrucciones</vt:lpstr>
      <vt:lpstr>Criterios de Clasificación</vt:lpstr>
      <vt:lpstr>Clave Interna (Equipo)</vt:lpstr>
      <vt:lpstr>Eval. Angélica Tenecela</vt:lpstr>
      <vt:lpstr>Eval. Geovanny Ochoa</vt:lpstr>
      <vt:lpstr>Eval. Valeska Chica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cp:lastPrinted>2026-07-29T00:33:54Z</cp:lastPrinted>
  <dcterms:modified xsi:type="dcterms:W3CDTF">2026-07-29T00:38:05Z</dcterms:modified>
</cp:coreProperties>
</file>